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PCS Workplan v8" sheetId="1" state="visible" r:id="rId1"/>
    <sheet xmlns:r="http://schemas.openxmlformats.org/officeDocument/2006/relationships" name="Contract Deliverables (rA1)" sheetId="2" state="visible" r:id="rId2"/>
    <sheet xmlns:r="http://schemas.openxmlformats.org/officeDocument/2006/relationships" name="Management Disciplines" sheetId="3" state="visible" r:id="rId3"/>
    <sheet xmlns:r="http://schemas.openxmlformats.org/officeDocument/2006/relationships" name="Acronyms &amp; Definitions" sheetId="4" state="visible" r:id="rId4"/>
    <sheet xmlns:r="http://schemas.openxmlformats.org/officeDocument/2006/relationships" name="Mark Comments (v5)" sheetId="5" state="visible" r:id="rId5"/>
  </sheets>
  <definedNames>
    <definedName name="_xlnm._FilterDatabase" localSheetId="0" hidden="1">'PCS Workplan v8'!$A$5:$H$187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\$#,##0"/>
    <numFmt numFmtId="166" formatCode="\$#,##0.00"/>
  </numFmts>
  <fonts count="3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0069AA"/>
      <sz val="14"/>
    </font>
    <font>
      <name val="Arial"/>
      <charset val="1"/>
      <family val="2"/>
      <color rgb="FF666666"/>
      <sz val="10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sz val="10"/>
    </font>
    <font>
      <name val="Arial"/>
      <charset val="1"/>
      <family val="2"/>
      <b val="1"/>
      <color rgb="FF8B0000"/>
      <sz val="10"/>
    </font>
    <font>
      <name val="Arial"/>
      <charset val="1"/>
      <family val="0"/>
      <b val="1"/>
      <color rgb="FF8B0000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69AA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666666"/>
      <sz val="9"/>
    </font>
    <font>
      <name val="Arial"/>
      <charset val="1"/>
      <family val="2"/>
      <color rgb="FF666666"/>
      <sz val="9"/>
    </font>
    <font>
      <name val="Arial"/>
      <charset val="1"/>
      <family val="0"/>
      <b val="1"/>
      <color rgb="FF0069AA"/>
      <sz val="14"/>
    </font>
    <font>
      <name val="Arial"/>
      <charset val="1"/>
      <family val="0"/>
      <color rgb="FF666666"/>
      <sz val="10"/>
    </font>
    <font>
      <name val="Arial"/>
      <charset val="1"/>
      <family val="0"/>
      <b val="1"/>
      <color rgb="FFFFFFFF"/>
      <sz val="10"/>
    </font>
    <font>
      <name val="Calibri"/>
      <charset val="1"/>
      <family val="2"/>
      <b val="1"/>
      <color theme="1"/>
      <sz val="11"/>
    </font>
    <font>
      <name val="Calibri"/>
      <b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C5700"/>
      <sz val="10"/>
    </font>
    <font>
      <name val="Calibri"/>
      <b val="1"/>
      <color rgb="001F4E79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52361C"/>
      <sz val="10"/>
    </font>
    <font>
      <name val="Calibri"/>
      <i val="1"/>
      <sz val="10"/>
    </font>
  </fonts>
  <fills count="20">
    <fill>
      <patternFill/>
    </fill>
    <fill>
      <patternFill patternType="gray125"/>
    </fill>
    <fill>
      <patternFill patternType="solid">
        <fgColor rgb="FF0069AA"/>
        <bgColor rgb="FF008080"/>
      </patternFill>
    </fill>
    <fill>
      <patternFill patternType="solid">
        <fgColor rgb="FFB8D8B8"/>
        <bgColor rgb="FFCCCCCC"/>
      </patternFill>
    </fill>
    <fill>
      <patternFill patternType="solid">
        <fgColor rgb="FFFFCCCC"/>
        <bgColor rgb="FFCCCCCC"/>
      </patternFill>
    </fill>
    <fill>
      <patternFill patternType="solid">
        <fgColor rgb="FFE3F4FC"/>
        <bgColor rgb="FFE8F2FA"/>
      </patternFill>
    </fill>
    <fill>
      <patternFill patternType="solid">
        <fgColor rgb="FFFFF2CC"/>
        <bgColor rgb="FFFFF7E0"/>
      </patternFill>
    </fill>
    <fill>
      <patternFill patternType="solid">
        <fgColor rgb="FFE58E1A"/>
        <bgColor rgb="FFFF6600"/>
      </patternFill>
    </fill>
    <fill>
      <patternFill patternType="solid">
        <fgColor rgb="FFE8F2FA"/>
        <bgColor rgb="FFE3F4FC"/>
      </patternFill>
    </fill>
    <fill>
      <patternFill patternType="solid">
        <fgColor rgb="FFFEF4E4"/>
        <bgColor rgb="FFFFF7E0"/>
      </patternFill>
    </fill>
    <fill>
      <patternFill patternType="solid">
        <fgColor rgb="FFE4F3F1"/>
        <bgColor rgb="FFE3F4FC"/>
      </patternFill>
    </fill>
    <fill>
      <patternFill patternType="solid">
        <fgColor rgb="FFFFF7E0"/>
        <bgColor rgb="FFFEF4E4"/>
      </patternFill>
    </fill>
    <fill>
      <patternFill patternType="solid">
        <fgColor theme="4" tint="0.5999"/>
        <bgColor rgb="FFFFF2CC"/>
      </patternFill>
    </fill>
    <fill>
      <patternFill patternType="solid">
        <fgColor rgb="00F2F2F2"/>
        <bgColor rgb="00F2F2F2"/>
      </patternFill>
    </fill>
    <fill>
      <patternFill patternType="solid">
        <fgColor rgb="0025532E"/>
        <bgColor rgb="0025532E"/>
      </patternFill>
    </fill>
    <fill>
      <patternFill patternType="solid">
        <fgColor rgb="00FFEB9C"/>
        <bgColor rgb="00FFEB9C"/>
      </patternFill>
    </fill>
    <fill>
      <patternFill patternType="solid">
        <fgColor rgb="00D0E8FF"/>
        <bgColor rgb="00D0E8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5CDB8"/>
        <bgColor rgb="00E5CDB8"/>
      </patternFill>
    </fill>
  </fills>
  <borders count="23">
    <border>
      <left/>
      <right/>
      <top/>
      <bottom/>
      <diagonal/>
    </border>
    <border>
      <left style="double">
        <color rgb="FFCCCCCC"/>
      </left>
      <right style="double">
        <color rgb="FFCCCCCC"/>
      </right>
      <top style="double">
        <color rgb="FFCCCCCC"/>
      </top>
      <bottom style="double">
        <color rgb="FFCCCCCC"/>
      </bottom>
      <diagonal/>
    </border>
    <border>
      <left style="double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double">
        <color rgb="FFCCCCCC"/>
      </right>
      <top/>
      <bottom style="thin">
        <color rgb="FFCCCCCC"/>
      </bottom>
      <diagonal/>
    </border>
    <border>
      <left style="double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double">
        <color rgb="FFCCCCCC"/>
      </right>
      <top style="thin">
        <color rgb="FFCCCCCC"/>
      </top>
      <bottom style="thin">
        <color rgb="FFCCCCCC"/>
      </bottom>
      <diagonal/>
    </border>
    <border>
      <left style="double">
        <color rgb="FFCCCCCC"/>
      </left>
      <right style="thin">
        <color rgb="FFCCCCCC"/>
      </right>
      <top style="thin">
        <color rgb="FFCCCCCC"/>
      </top>
      <bottom style="double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double">
        <color rgb="FFCCCCCC"/>
      </bottom>
      <diagonal/>
    </border>
    <border>
      <left style="thin">
        <color rgb="FFCCCCCC"/>
      </left>
      <right style="double">
        <color rgb="FFCCCCCC"/>
      </right>
      <top style="thin">
        <color rgb="FFCCCCCC"/>
      </top>
      <bottom style="double">
        <color rgb="FFCCCCCC"/>
      </bottom>
      <diagonal/>
    </border>
    <border>
      <left style="double"/>
      <right style="double"/>
      <top style="double"/>
      <bottom style="double"/>
      <diagonal/>
    </border>
    <border>
      <left style="double"/>
      <right/>
      <top style="double"/>
      <bottom/>
      <diagonal/>
    </border>
    <border>
      <left/>
      <right style="double"/>
      <top style="double"/>
      <bottom/>
      <diagonal/>
    </border>
    <border>
      <left style="double"/>
      <right/>
      <top/>
      <bottom/>
      <diagonal/>
    </border>
    <border>
      <left/>
      <right style="double"/>
      <top/>
      <bottom/>
      <diagonal/>
    </border>
    <border>
      <left style="double"/>
      <right/>
      <top/>
      <bottom style="double"/>
      <diagonal/>
    </border>
    <border>
      <left/>
      <right style="double"/>
      <top/>
      <bottom style="double"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left" vertical="center" wrapText="1"/>
    </xf>
    <xf numFmtId="164" fontId="7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165" fontId="7" fillId="2" borderId="3" applyAlignment="1" pivotButton="0" quotePrefix="0" xfId="0">
      <alignment horizontal="right" vertical="center"/>
    </xf>
    <xf numFmtId="0" fontId="7" fillId="2" borderId="4" applyAlignment="1" pivotButton="0" quotePrefix="0" xfId="0">
      <alignment horizontal="left" vertic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left" vertical="center" wrapText="1"/>
    </xf>
    <xf numFmtId="164" fontId="8" fillId="3" borderId="5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left" vertical="center" wrapText="1"/>
    </xf>
    <xf numFmtId="164" fontId="9" fillId="0" borderId="5" applyAlignment="1" pivotButton="0" quotePrefix="0" xfId="0">
      <alignment horizontal="left" vertical="center" wrapText="1"/>
    </xf>
    <xf numFmtId="3" fontId="9" fillId="0" borderId="5" applyAlignment="1" pivotButton="0" quotePrefix="0" xfId="0">
      <alignment horizontal="center" vertical="center" wrapText="1"/>
    </xf>
    <xf numFmtId="165" fontId="9" fillId="0" borderId="5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center" vertical="center" wrapText="1"/>
    </xf>
    <xf numFmtId="0" fontId="10" fillId="3" borderId="6" applyAlignment="1" pivotButton="0" quotePrefix="0" xfId="0">
      <alignment horizontal="left" vertical="center" wrapText="1"/>
    </xf>
    <xf numFmtId="164" fontId="10" fillId="3" borderId="6" applyAlignment="1" pivotButton="0" quotePrefix="0" xfId="0">
      <alignment horizontal="center" vertical="center" wrapText="1"/>
    </xf>
    <xf numFmtId="0" fontId="10" fillId="3" borderId="6" applyAlignment="1" pivotButton="0" quotePrefix="0" xfId="0">
      <alignment horizontal="center" vertical="center" wrapText="1"/>
    </xf>
    <xf numFmtId="165" fontId="10" fillId="3" borderId="6" applyAlignment="1" pivotButton="0" quotePrefix="0" xfId="0">
      <alignment horizontal="right" vertical="center"/>
    </xf>
    <xf numFmtId="0" fontId="10" fillId="3" borderId="7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left" vertical="center" wrapText="1"/>
    </xf>
    <xf numFmtId="164" fontId="11" fillId="0" borderId="6" applyAlignment="1" pivotButton="0" quotePrefix="0" xfId="0">
      <alignment horizontal="center" vertical="center" wrapText="1"/>
    </xf>
    <xf numFmtId="3" fontId="11" fillId="0" borderId="6" applyAlignment="1" pivotButton="0" quotePrefix="0" xfId="0">
      <alignment horizontal="center" vertical="center" wrapText="1"/>
    </xf>
    <xf numFmtId="165" fontId="11" fillId="0" borderId="6" applyAlignment="1" pivotButton="0" quotePrefix="0" xfId="0">
      <alignment horizontal="right" vertical="center"/>
    </xf>
    <xf numFmtId="0" fontId="11" fillId="0" borderId="7" applyAlignment="1" pivotButton="0" quotePrefix="0" xfId="0">
      <alignment horizontal="left" vertical="center" wrapText="1"/>
    </xf>
    <xf numFmtId="0" fontId="12" fillId="4" borderId="5" applyAlignment="1" pivotButton="0" quotePrefix="0" xfId="0">
      <alignment horizontal="center" vertical="center" wrapText="1"/>
    </xf>
    <xf numFmtId="0" fontId="12" fillId="4" borderId="6" applyAlignment="1" pivotButton="0" quotePrefix="0" xfId="0">
      <alignment horizontal="left" vertical="center" wrapText="1"/>
    </xf>
    <xf numFmtId="0" fontId="12" fillId="4" borderId="6" applyAlignment="1" pivotButton="0" quotePrefix="0" xfId="0">
      <alignment horizontal="center" vertical="center" wrapText="1"/>
    </xf>
    <xf numFmtId="164" fontId="12" fillId="4" borderId="6" applyAlignment="1" pivotButton="0" quotePrefix="0" xfId="0">
      <alignment horizontal="center" vertical="center" wrapText="1"/>
    </xf>
    <xf numFmtId="165" fontId="12" fillId="4" borderId="6" applyAlignment="1" pivotButton="0" quotePrefix="0" xfId="0">
      <alignment horizontal="right" vertical="center"/>
    </xf>
    <xf numFmtId="0" fontId="12" fillId="4" borderId="7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general" vertical="bottom"/>
    </xf>
    <xf numFmtId="164" fontId="0" fillId="0" borderId="6" applyAlignment="1" pivotButton="0" quotePrefix="0" xfId="0">
      <alignment horizontal="general" vertical="bottom"/>
    </xf>
    <xf numFmtId="3" fontId="9" fillId="0" borderId="6" applyAlignment="1" pivotButton="0" quotePrefix="0" xfId="0">
      <alignment horizontal="general" vertical="bottom"/>
    </xf>
    <xf numFmtId="165" fontId="9" fillId="0" borderId="6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11" fillId="5" borderId="5" applyAlignment="1" pivotButton="0" quotePrefix="0" xfId="0">
      <alignment horizontal="center" vertical="center" wrapText="1"/>
    </xf>
    <xf numFmtId="0" fontId="11" fillId="5" borderId="6" applyAlignment="1" pivotButton="0" quotePrefix="0" xfId="0">
      <alignment horizontal="left" vertical="center" wrapText="1"/>
    </xf>
    <xf numFmtId="164" fontId="11" fillId="5" borderId="6" applyAlignment="1" pivotButton="0" quotePrefix="0" xfId="0">
      <alignment horizontal="center" vertical="center" wrapText="1"/>
    </xf>
    <xf numFmtId="3" fontId="11" fillId="5" borderId="6" applyAlignment="1" pivotButton="0" quotePrefix="0" xfId="0">
      <alignment horizontal="center" vertical="center" wrapText="1"/>
    </xf>
    <xf numFmtId="165" fontId="11" fillId="5" borderId="6" applyAlignment="1" pivotButton="0" quotePrefix="0" xfId="0">
      <alignment horizontal="right" vertical="center"/>
    </xf>
    <xf numFmtId="0" fontId="11" fillId="5" borderId="7" applyAlignment="1" pivotButton="0" quotePrefix="0" xfId="0">
      <alignment horizontal="left" vertical="center" wrapText="1"/>
    </xf>
    <xf numFmtId="0" fontId="13" fillId="4" borderId="5" applyAlignment="1" pivotButton="0" quotePrefix="0" xfId="0">
      <alignment horizontal="center" vertical="center" wrapText="1"/>
    </xf>
    <xf numFmtId="0" fontId="13" fillId="4" borderId="5" applyAlignment="1" pivotButton="0" quotePrefix="0" xfId="0">
      <alignment horizontal="left" vertical="center" wrapText="1"/>
    </xf>
    <xf numFmtId="164" fontId="13" fillId="4" borderId="5" applyAlignment="1" pivotButton="0" quotePrefix="0" xfId="0">
      <alignment horizontal="center" vertical="center" wrapText="1"/>
    </xf>
    <xf numFmtId="0" fontId="14" fillId="6" borderId="5" applyAlignment="1" pivotButton="0" quotePrefix="0" xfId="0">
      <alignment horizontal="center" vertical="center" wrapText="1"/>
    </xf>
    <xf numFmtId="0" fontId="14" fillId="6" borderId="6" applyAlignment="1" pivotButton="0" quotePrefix="0" xfId="0">
      <alignment horizontal="left" vertical="center" wrapText="1"/>
    </xf>
    <xf numFmtId="0" fontId="14" fillId="6" borderId="6" applyAlignment="1" pivotButton="0" quotePrefix="0" xfId="0">
      <alignment horizontal="center" vertical="center" wrapText="1"/>
    </xf>
    <xf numFmtId="3" fontId="14" fillId="6" borderId="6" applyAlignment="1" pivotButton="0" quotePrefix="0" xfId="0">
      <alignment horizontal="center" vertical="center" wrapText="1"/>
    </xf>
    <xf numFmtId="165" fontId="14" fillId="6" borderId="6" applyAlignment="1" pivotButton="0" quotePrefix="0" xfId="0">
      <alignment horizontal="right" vertical="center"/>
    </xf>
    <xf numFmtId="0" fontId="14" fillId="6" borderId="7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left" vertical="center" wrapText="1"/>
    </xf>
    <xf numFmtId="164" fontId="7" fillId="2" borderId="6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165" fontId="7" fillId="2" borderId="6" applyAlignment="1" pivotButton="0" quotePrefix="0" xfId="0">
      <alignment horizontal="right" vertical="center"/>
    </xf>
    <xf numFmtId="0" fontId="7" fillId="2" borderId="7" applyAlignment="1" pivotButton="0" quotePrefix="0" xfId="0">
      <alignment horizontal="left" vertical="center" wrapText="1"/>
    </xf>
    <xf numFmtId="0" fontId="14" fillId="6" borderId="8" applyAlignment="1" pivotButton="0" quotePrefix="0" xfId="0">
      <alignment horizontal="center" vertical="center" wrapText="1"/>
    </xf>
    <xf numFmtId="0" fontId="14" fillId="6" borderId="9" applyAlignment="1" pivotButton="0" quotePrefix="0" xfId="0">
      <alignment horizontal="left" vertical="center" wrapText="1"/>
    </xf>
    <xf numFmtId="0" fontId="14" fillId="6" borderId="9" applyAlignment="1" pivotButton="0" quotePrefix="0" xfId="0">
      <alignment horizontal="center" vertical="center" wrapText="1"/>
    </xf>
    <xf numFmtId="3" fontId="14" fillId="6" borderId="9" applyAlignment="1" pivotButton="0" quotePrefix="0" xfId="0">
      <alignment horizontal="center" vertical="center" wrapText="1"/>
    </xf>
    <xf numFmtId="165" fontId="14" fillId="6" borderId="9" applyAlignment="1" pivotButton="0" quotePrefix="0" xfId="0">
      <alignment horizontal="right" vertical="center"/>
    </xf>
    <xf numFmtId="0" fontId="14" fillId="6" borderId="10" applyAlignment="1" pivotButton="0" quotePrefix="0" xfId="0">
      <alignment horizontal="left" vertical="center" wrapText="1"/>
    </xf>
    <xf numFmtId="0" fontId="7" fillId="7" borderId="6" applyAlignment="1" pivotButton="0" quotePrefix="0" xfId="0">
      <alignment horizontal="center" vertical="bottom"/>
    </xf>
    <xf numFmtId="0" fontId="7" fillId="7" borderId="6" applyAlignment="1" pivotButton="0" quotePrefix="0" xfId="0">
      <alignment horizontal="general" vertical="bottom"/>
    </xf>
    <xf numFmtId="3" fontId="7" fillId="7" borderId="6" applyAlignment="1" pivotButton="0" quotePrefix="0" xfId="0">
      <alignment horizontal="general" vertical="bottom"/>
    </xf>
    <xf numFmtId="165" fontId="7" fillId="7" borderId="6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6" fillId="2" borderId="6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bottom"/>
    </xf>
    <xf numFmtId="166" fontId="9" fillId="0" borderId="6" applyAlignment="1" pivotButton="0" quotePrefix="0" xfId="0">
      <alignment horizontal="general" vertical="bottom"/>
    </xf>
    <xf numFmtId="3" fontId="0" fillId="0" borderId="6" applyAlignment="1" pivotButton="0" quotePrefix="0" xfId="0">
      <alignment horizontal="general" vertical="bottom"/>
    </xf>
    <xf numFmtId="165" fontId="0" fillId="0" borderId="6" applyAlignment="1" pivotButton="0" quotePrefix="0" xfId="0">
      <alignment horizontal="general" vertical="bottom"/>
    </xf>
    <xf numFmtId="0" fontId="16" fillId="7" borderId="6" applyAlignment="1" pivotButton="0" quotePrefix="0" xfId="0">
      <alignment horizontal="center" vertical="bottom"/>
    </xf>
    <xf numFmtId="0" fontId="16" fillId="7" borderId="6" applyAlignment="1" pivotButton="0" quotePrefix="0" xfId="0">
      <alignment horizontal="general" vertical="bottom"/>
    </xf>
    <xf numFmtId="3" fontId="16" fillId="7" borderId="6" applyAlignment="1" pivotButton="0" quotePrefix="0" xfId="0">
      <alignment horizontal="general" vertical="bottom"/>
    </xf>
    <xf numFmtId="165" fontId="16" fillId="7" borderId="6" applyAlignment="1" pivotButton="0" quotePrefix="0" xfId="0">
      <alignment horizontal="general" vertical="bottom"/>
    </xf>
    <xf numFmtId="0" fontId="6" fillId="2" borderId="6" applyAlignment="1" pivotButton="0" quotePrefix="0" xfId="0">
      <alignment horizontal="center" vertical="bottom"/>
    </xf>
    <xf numFmtId="0" fontId="6" fillId="2" borderId="6" applyAlignment="1" pivotButton="0" quotePrefix="0" xfId="0">
      <alignment horizontal="general" vertical="bottom"/>
    </xf>
    <xf numFmtId="0" fontId="8" fillId="4" borderId="5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general" vertical="bottom"/>
    </xf>
    <xf numFmtId="164" fontId="9" fillId="4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2" borderId="6" applyAlignment="1" pivotButton="0" quotePrefix="0" xfId="0">
      <alignment horizontal="center" vertical="center" wrapText="1"/>
    </xf>
    <xf numFmtId="0" fontId="16" fillId="2" borderId="6" applyAlignment="1" pivotButton="0" quotePrefix="0" xfId="0">
      <alignment horizontal="general" vertical="bottom"/>
    </xf>
    <xf numFmtId="0" fontId="9" fillId="8" borderId="6" applyAlignment="1" pivotButton="0" quotePrefix="0" xfId="0">
      <alignment horizontal="general" vertical="center" wrapText="1"/>
    </xf>
    <xf numFmtId="0" fontId="9" fillId="9" borderId="6" applyAlignment="1" pivotButton="0" quotePrefix="0" xfId="0">
      <alignment horizontal="general" vertical="center" wrapText="1"/>
    </xf>
    <xf numFmtId="0" fontId="9" fillId="10" borderId="6" applyAlignment="1" pivotButton="0" quotePrefix="0" xfId="0">
      <alignment horizontal="general" vertical="center" wrapText="1"/>
    </xf>
    <xf numFmtId="0" fontId="8" fillId="11" borderId="6" applyAlignment="1" pivotButton="0" quotePrefix="0" xfId="0">
      <alignment horizontal="general" vertical="center" wrapText="1"/>
    </xf>
    <xf numFmtId="0" fontId="21" fillId="2" borderId="6" applyAlignment="1" pivotButton="0" quotePrefix="0" xfId="0">
      <alignment horizontal="general" vertical="bottom"/>
    </xf>
    <xf numFmtId="0" fontId="8" fillId="0" borderId="6" applyAlignment="1" pivotButton="0" quotePrefix="0" xfId="0">
      <alignment horizontal="general" vertical="top" wrapText="1"/>
    </xf>
    <xf numFmtId="0" fontId="9" fillId="0" borderId="6" applyAlignment="1" pivotButton="0" quotePrefix="0" xfId="0">
      <alignment horizontal="general" vertical="top" wrapText="1"/>
    </xf>
    <xf numFmtId="0" fontId="8" fillId="0" borderId="6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general" vertical="center" wrapText="1"/>
    </xf>
    <xf numFmtId="0" fontId="22" fillId="12" borderId="11" applyAlignment="1" pivotButton="0" quotePrefix="0" xfId="0">
      <alignment horizontal="center" vertical="bottom"/>
    </xf>
    <xf numFmtId="0" fontId="22" fillId="0" borderId="0" applyAlignment="1" pivotButton="0" quotePrefix="0" xfId="0">
      <alignment horizontal="center" vertical="bottom"/>
    </xf>
    <xf numFmtId="0" fontId="0" fillId="0" borderId="12" applyAlignment="1" pivotButton="0" quotePrefix="0" xfId="0">
      <alignment horizontal="center" vertical="bottom"/>
    </xf>
    <xf numFmtId="0" fontId="0" fillId="0" borderId="13" applyAlignment="1" pivotButton="0" quotePrefix="0" xfId="0">
      <alignment horizontal="general" vertical="bottom"/>
    </xf>
    <xf numFmtId="0" fontId="0" fillId="0" borderId="14" applyAlignment="1" pivotButton="0" quotePrefix="0" xfId="0">
      <alignment horizontal="center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center" vertical="bottom"/>
    </xf>
    <xf numFmtId="0" fontId="0" fillId="0" borderId="17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left" vertical="center" wrapText="1"/>
    </xf>
    <xf numFmtId="164" fontId="7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165" fontId="7" fillId="2" borderId="3" applyAlignment="1" pivotButton="0" quotePrefix="0" xfId="0">
      <alignment horizontal="right" vertical="center"/>
    </xf>
    <xf numFmtId="0" fontId="7" fillId="2" borderId="4" applyAlignment="1" pivotButton="0" quotePrefix="0" xfId="0">
      <alignment horizontal="left" vertic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left" vertical="center" wrapText="1"/>
    </xf>
    <xf numFmtId="164" fontId="8" fillId="3" borderId="5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left" vertical="center" wrapText="1"/>
    </xf>
    <xf numFmtId="164" fontId="9" fillId="0" borderId="5" applyAlignment="1" pivotButton="0" quotePrefix="0" xfId="0">
      <alignment horizontal="left" vertical="center" wrapText="1"/>
    </xf>
    <xf numFmtId="3" fontId="9" fillId="0" borderId="5" applyAlignment="1" pivotButton="0" quotePrefix="0" xfId="0">
      <alignment horizontal="center" vertical="center" wrapText="1"/>
    </xf>
    <xf numFmtId="165" fontId="9" fillId="0" borderId="5" applyAlignment="1" pivotButton="0" quotePrefix="0" xfId="0">
      <alignment horizontal="center" vertical="center" wrapText="1"/>
    </xf>
    <xf numFmtId="0" fontId="23" fillId="13" borderId="22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 wrapText="1"/>
    </xf>
    <xf numFmtId="0" fontId="10" fillId="3" borderId="6" applyAlignment="1" pivotButton="0" quotePrefix="0" xfId="0">
      <alignment horizontal="left" vertical="center" wrapText="1"/>
    </xf>
    <xf numFmtId="164" fontId="10" fillId="3" borderId="6" applyAlignment="1" pivotButton="0" quotePrefix="0" xfId="0">
      <alignment horizontal="center" vertical="center" wrapText="1"/>
    </xf>
    <xf numFmtId="0" fontId="10" fillId="3" borderId="6" applyAlignment="1" pivotButton="0" quotePrefix="0" xfId="0">
      <alignment horizontal="center" vertical="center" wrapText="1"/>
    </xf>
    <xf numFmtId="165" fontId="10" fillId="3" borderId="6" applyAlignment="1" pivotButton="0" quotePrefix="0" xfId="0">
      <alignment horizontal="right" vertical="center"/>
    </xf>
    <xf numFmtId="0" fontId="10" fillId="3" borderId="7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left" vertical="center" wrapText="1"/>
    </xf>
    <xf numFmtId="164" fontId="11" fillId="0" borderId="6" applyAlignment="1" pivotButton="0" quotePrefix="0" xfId="0">
      <alignment horizontal="center" vertical="center" wrapText="1"/>
    </xf>
    <xf numFmtId="3" fontId="11" fillId="0" borderId="6" applyAlignment="1" pivotButton="0" quotePrefix="0" xfId="0">
      <alignment horizontal="center" vertical="center" wrapText="1"/>
    </xf>
    <xf numFmtId="165" fontId="11" fillId="0" borderId="6" applyAlignment="1" pivotButton="0" quotePrefix="0" xfId="0">
      <alignment horizontal="right" vertical="center"/>
    </xf>
    <xf numFmtId="0" fontId="11" fillId="0" borderId="7" applyAlignment="1" pivotButton="0" quotePrefix="0" xfId="0">
      <alignment horizontal="left" vertical="center" wrapText="1"/>
    </xf>
    <xf numFmtId="0" fontId="12" fillId="4" borderId="5" applyAlignment="1" pivotButton="0" quotePrefix="0" xfId="0">
      <alignment horizontal="center" vertical="center" wrapText="1"/>
    </xf>
    <xf numFmtId="0" fontId="12" fillId="4" borderId="6" applyAlignment="1" pivotButton="0" quotePrefix="0" xfId="0">
      <alignment horizontal="left" vertical="center" wrapText="1"/>
    </xf>
    <xf numFmtId="0" fontId="12" fillId="4" borderId="6" applyAlignment="1" pivotButton="0" quotePrefix="0" xfId="0">
      <alignment horizontal="center" vertical="center" wrapText="1"/>
    </xf>
    <xf numFmtId="164" fontId="12" fillId="4" borderId="6" applyAlignment="1" pivotButton="0" quotePrefix="0" xfId="0">
      <alignment horizontal="center" vertical="center" wrapText="1"/>
    </xf>
    <xf numFmtId="165" fontId="12" fillId="4" borderId="6" applyAlignment="1" pivotButton="0" quotePrefix="0" xfId="0">
      <alignment horizontal="right" vertical="center"/>
    </xf>
    <xf numFmtId="0" fontId="12" fillId="4" borderId="7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general" vertical="bottom"/>
    </xf>
    <xf numFmtId="164" fontId="0" fillId="0" borderId="6" applyAlignment="1" pivotButton="0" quotePrefix="0" xfId="0">
      <alignment horizontal="general" vertical="bottom"/>
    </xf>
    <xf numFmtId="3" fontId="9" fillId="0" borderId="6" applyAlignment="1" pivotButton="0" quotePrefix="0" xfId="0">
      <alignment horizontal="general" vertical="bottom"/>
    </xf>
    <xf numFmtId="165" fontId="9" fillId="0" borderId="6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11" fillId="5" borderId="5" applyAlignment="1" pivotButton="0" quotePrefix="0" xfId="0">
      <alignment horizontal="center" vertical="center" wrapText="1"/>
    </xf>
    <xf numFmtId="0" fontId="11" fillId="5" borderId="6" applyAlignment="1" pivotButton="0" quotePrefix="0" xfId="0">
      <alignment horizontal="left" vertical="center" wrapText="1"/>
    </xf>
    <xf numFmtId="164" fontId="11" fillId="5" borderId="6" applyAlignment="1" pivotButton="0" quotePrefix="0" xfId="0">
      <alignment horizontal="center" vertical="center" wrapText="1"/>
    </xf>
    <xf numFmtId="3" fontId="11" fillId="5" borderId="6" applyAlignment="1" pivotButton="0" quotePrefix="0" xfId="0">
      <alignment horizontal="center" vertical="center" wrapText="1"/>
    </xf>
    <xf numFmtId="165" fontId="11" fillId="5" borderId="6" applyAlignment="1" pivotButton="0" quotePrefix="0" xfId="0">
      <alignment horizontal="right" vertical="center"/>
    </xf>
    <xf numFmtId="0" fontId="11" fillId="5" borderId="7" applyAlignment="1" pivotButton="0" quotePrefix="0" xfId="0">
      <alignment horizontal="left" vertical="center" wrapText="1"/>
    </xf>
    <xf numFmtId="0" fontId="13" fillId="4" borderId="5" applyAlignment="1" pivotButton="0" quotePrefix="0" xfId="0">
      <alignment horizontal="center" vertical="center" wrapText="1"/>
    </xf>
    <xf numFmtId="0" fontId="13" fillId="4" borderId="5" applyAlignment="1" pivotButton="0" quotePrefix="0" xfId="0">
      <alignment horizontal="left" vertical="center" wrapText="1"/>
    </xf>
    <xf numFmtId="164" fontId="13" fillId="4" borderId="5" applyAlignment="1" pivotButton="0" quotePrefix="0" xfId="0">
      <alignment horizontal="center" vertical="center" wrapText="1"/>
    </xf>
    <xf numFmtId="0" fontId="14" fillId="6" borderId="5" applyAlignment="1" pivotButton="0" quotePrefix="0" xfId="0">
      <alignment horizontal="center" vertical="center" wrapText="1"/>
    </xf>
    <xf numFmtId="0" fontId="14" fillId="6" borderId="6" applyAlignment="1" pivotButton="0" quotePrefix="0" xfId="0">
      <alignment horizontal="left" vertical="center" wrapText="1"/>
    </xf>
    <xf numFmtId="0" fontId="14" fillId="6" borderId="6" applyAlignment="1" pivotButton="0" quotePrefix="0" xfId="0">
      <alignment horizontal="center" vertical="center" wrapText="1"/>
    </xf>
    <xf numFmtId="3" fontId="14" fillId="6" borderId="6" applyAlignment="1" pivotButton="0" quotePrefix="0" xfId="0">
      <alignment horizontal="center" vertical="center" wrapText="1"/>
    </xf>
    <xf numFmtId="165" fontId="14" fillId="6" borderId="6" applyAlignment="1" pivotButton="0" quotePrefix="0" xfId="0">
      <alignment horizontal="right" vertical="center"/>
    </xf>
    <xf numFmtId="0" fontId="14" fillId="6" borderId="7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left" vertical="center" wrapText="1"/>
    </xf>
    <xf numFmtId="164" fontId="7" fillId="2" borderId="6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165" fontId="7" fillId="2" borderId="6" applyAlignment="1" pivotButton="0" quotePrefix="0" xfId="0">
      <alignment horizontal="right" vertical="center"/>
    </xf>
    <xf numFmtId="0" fontId="7" fillId="2" borderId="7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21" pivotButton="0" quotePrefix="0" xfId="0"/>
    <xf numFmtId="0" fontId="14" fillId="6" borderId="8" applyAlignment="1" pivotButton="0" quotePrefix="0" xfId="0">
      <alignment horizontal="center" vertical="center" wrapText="1"/>
    </xf>
    <xf numFmtId="0" fontId="14" fillId="6" borderId="9" applyAlignment="1" pivotButton="0" quotePrefix="0" xfId="0">
      <alignment horizontal="left" vertical="center" wrapText="1"/>
    </xf>
    <xf numFmtId="0" fontId="14" fillId="6" borderId="9" applyAlignment="1" pivotButton="0" quotePrefix="0" xfId="0">
      <alignment horizontal="center" vertical="center" wrapText="1"/>
    </xf>
    <xf numFmtId="3" fontId="14" fillId="6" borderId="9" applyAlignment="1" pivotButton="0" quotePrefix="0" xfId="0">
      <alignment horizontal="center" vertical="center" wrapText="1"/>
    </xf>
    <xf numFmtId="165" fontId="14" fillId="6" borderId="9" applyAlignment="1" pivotButton="0" quotePrefix="0" xfId="0">
      <alignment horizontal="right" vertical="center"/>
    </xf>
    <xf numFmtId="0" fontId="14" fillId="6" borderId="10" applyAlignment="1" pivotButton="0" quotePrefix="0" xfId="0">
      <alignment horizontal="left" vertical="center" wrapText="1"/>
    </xf>
    <xf numFmtId="0" fontId="7" fillId="7" borderId="6" applyAlignment="1" pivotButton="0" quotePrefix="0" xfId="0">
      <alignment horizontal="center" vertical="bottom"/>
    </xf>
    <xf numFmtId="0" fontId="7" fillId="7" borderId="6" applyAlignment="1" pivotButton="0" quotePrefix="0" xfId="0">
      <alignment horizontal="general" vertical="bottom"/>
    </xf>
    <xf numFmtId="3" fontId="7" fillId="7" borderId="6" applyAlignment="1" pivotButton="0" quotePrefix="0" xfId="0">
      <alignment horizontal="general" vertical="bottom"/>
    </xf>
    <xf numFmtId="165" fontId="7" fillId="7" borderId="6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6" fillId="2" borderId="6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bottom"/>
    </xf>
    <xf numFmtId="166" fontId="9" fillId="0" borderId="6" applyAlignment="1" pivotButton="0" quotePrefix="0" xfId="0">
      <alignment horizontal="general" vertical="bottom"/>
    </xf>
    <xf numFmtId="3" fontId="0" fillId="0" borderId="6" applyAlignment="1" pivotButton="0" quotePrefix="0" xfId="0">
      <alignment horizontal="general" vertical="bottom"/>
    </xf>
    <xf numFmtId="165" fontId="0" fillId="0" borderId="6" applyAlignment="1" pivotButton="0" quotePrefix="0" xfId="0">
      <alignment horizontal="general" vertical="bottom"/>
    </xf>
    <xf numFmtId="0" fontId="16" fillId="7" borderId="6" applyAlignment="1" pivotButton="0" quotePrefix="0" xfId="0">
      <alignment horizontal="center" vertical="bottom"/>
    </xf>
    <xf numFmtId="0" fontId="16" fillId="7" borderId="6" applyAlignment="1" pivotButton="0" quotePrefix="0" xfId="0">
      <alignment horizontal="general" vertical="bottom"/>
    </xf>
    <xf numFmtId="3" fontId="16" fillId="7" borderId="6" applyAlignment="1" pivotButton="0" quotePrefix="0" xfId="0">
      <alignment horizontal="general" vertical="bottom"/>
    </xf>
    <xf numFmtId="165" fontId="16" fillId="7" borderId="6" applyAlignment="1" pivotButton="0" quotePrefix="0" xfId="0">
      <alignment horizontal="general" vertical="bottom"/>
    </xf>
    <xf numFmtId="0" fontId="6" fillId="2" borderId="6" applyAlignment="1" pivotButton="0" quotePrefix="0" xfId="0">
      <alignment horizontal="center" vertical="bottom"/>
    </xf>
    <xf numFmtId="0" fontId="6" fillId="2" borderId="6" applyAlignment="1" pivotButton="0" quotePrefix="0" xfId="0">
      <alignment horizontal="general" vertical="bottom"/>
    </xf>
    <xf numFmtId="0" fontId="8" fillId="4" borderId="5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general" vertical="bottom"/>
    </xf>
    <xf numFmtId="164" fontId="9" fillId="4" borderId="5" applyAlignment="1" pivotButton="0" quotePrefix="0" xfId="0">
      <alignment horizontal="center" vertical="center" wrapText="1"/>
    </xf>
    <xf numFmtId="0" fontId="31" fillId="0" borderId="0" pivotButton="0" quotePrefix="0" xfId="0"/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24" fillId="14" borderId="0" pivotButton="0" quotePrefix="0" xfId="0"/>
    <xf numFmtId="0" fontId="23" fillId="13" borderId="0" applyAlignment="1" pivotButton="0" quotePrefix="0" xfId="0">
      <alignment horizontal="center" vertical="center"/>
    </xf>
    <xf numFmtId="0" fontId="25" fillId="0" borderId="0" pivotButton="0" quotePrefix="0" xfId="0"/>
    <xf numFmtId="0" fontId="26" fillId="15" borderId="0" applyAlignment="1" pivotButton="0" quotePrefix="0" xfId="0">
      <alignment horizontal="center" vertical="center"/>
    </xf>
    <xf numFmtId="0" fontId="27" fillId="16" borderId="0" applyAlignment="1" pivotButton="0" quotePrefix="0" xfId="0">
      <alignment horizontal="center" vertical="center"/>
    </xf>
    <xf numFmtId="0" fontId="28" fillId="17" borderId="0" applyAlignment="1" pivotButton="0" quotePrefix="0" xfId="0">
      <alignment horizontal="center" vertical="center"/>
    </xf>
    <xf numFmtId="0" fontId="29" fillId="18" borderId="0" applyAlignment="1" pivotButton="0" quotePrefix="0" xfId="0">
      <alignment horizontal="center" vertical="center"/>
    </xf>
    <xf numFmtId="0" fontId="30" fillId="19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2" borderId="6" applyAlignment="1" pivotButton="0" quotePrefix="0" xfId="0">
      <alignment horizontal="center" vertical="center" wrapText="1"/>
    </xf>
    <xf numFmtId="0" fontId="16" fillId="2" borderId="6" applyAlignment="1" pivotButton="0" quotePrefix="0" xfId="0">
      <alignment horizontal="general" vertical="bottom"/>
    </xf>
    <xf numFmtId="0" fontId="9" fillId="8" borderId="6" applyAlignment="1" pivotButton="0" quotePrefix="0" xfId="0">
      <alignment horizontal="general" vertical="center" wrapText="1"/>
    </xf>
    <xf numFmtId="0" fontId="9" fillId="9" borderId="6" applyAlignment="1" pivotButton="0" quotePrefix="0" xfId="0">
      <alignment horizontal="general" vertical="center" wrapText="1"/>
    </xf>
    <xf numFmtId="0" fontId="9" fillId="10" borderId="6" applyAlignment="1" pivotButton="0" quotePrefix="0" xfId="0">
      <alignment horizontal="general" vertical="center" wrapText="1"/>
    </xf>
    <xf numFmtId="0" fontId="8" fillId="11" borderId="6" applyAlignment="1" pivotButton="0" quotePrefix="0" xfId="0">
      <alignment horizontal="general" vertical="center" wrapText="1"/>
    </xf>
    <xf numFmtId="0" fontId="21" fillId="2" borderId="6" applyAlignment="1" pivotButton="0" quotePrefix="0" xfId="0">
      <alignment horizontal="general" vertical="bottom"/>
    </xf>
    <xf numFmtId="0" fontId="8" fillId="0" borderId="6" applyAlignment="1" pivotButton="0" quotePrefix="0" xfId="0">
      <alignment horizontal="general" vertical="top" wrapText="1"/>
    </xf>
    <xf numFmtId="0" fontId="9" fillId="0" borderId="6" applyAlignment="1" pivotButton="0" quotePrefix="0" xfId="0">
      <alignment horizontal="general" vertical="top" wrapText="1"/>
    </xf>
    <xf numFmtId="0" fontId="8" fillId="0" borderId="6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general" vertical="center" wrapText="1"/>
    </xf>
    <xf numFmtId="0" fontId="22" fillId="0" borderId="0" applyAlignment="1" pivotButton="0" quotePrefix="0" xfId="0">
      <alignment horizontal="center" vertical="bottom"/>
    </xf>
    <xf numFmtId="0" fontId="22" fillId="12" borderId="11" applyAlignment="1" pivotButton="0" quotePrefix="0" xfId="0">
      <alignment horizontal="center" vertical="bottom"/>
    </xf>
    <xf numFmtId="0" fontId="0" fillId="0" borderId="12" applyAlignment="1" pivotButton="0" quotePrefix="0" xfId="0">
      <alignment horizontal="center" vertical="bottom"/>
    </xf>
    <xf numFmtId="0" fontId="0" fillId="0" borderId="13" applyAlignment="1" pivotButton="0" quotePrefix="0" xfId="0">
      <alignment horizontal="general" vertical="bottom"/>
    </xf>
    <xf numFmtId="0" fontId="0" fillId="0" borderId="14" applyAlignment="1" pivotButton="0" quotePrefix="0" xfId="0">
      <alignment horizontal="center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center" vertical="bottom"/>
    </xf>
    <xf numFmtId="0" fontId="0" fillId="0" borderId="17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0069AA"/>
          <bgColor rgb="FF000000"/>
        </patternFill>
      </fill>
    </dxf>
    <dxf>
      <fill>
        <patternFill patternType="solid">
          <fgColor rgb="FFB8D8B8"/>
          <bgColor rgb="FF000000"/>
        </patternFill>
      </fill>
    </dxf>
    <dxf>
      <fill>
        <patternFill patternType="solid">
          <fgColor rgb="FFE3F4F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B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7E0"/>
      <rgbColor rgb="FFE3F4FC"/>
      <rgbColor rgb="FF660066"/>
      <rgbColor rgb="FFFF8080"/>
      <rgbColor rgb="FF0069AA"/>
      <rgbColor rgb="FFB8D8B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F3F1"/>
      <rgbColor rgb="FFE8F2FA"/>
      <rgbColor rgb="FFFFEA9C"/>
      <rgbColor rgb="FFFEF4E4"/>
      <rgbColor rgb="FFFF99CC"/>
      <rgbColor rgb="FFCC99FF"/>
      <rgbColor rgb="FFFFCCCC"/>
      <rgbColor rgb="FF3366FF"/>
      <rgbColor rgb="FF33CCCC"/>
      <rgbColor rgb="FF99CC00"/>
      <rgbColor rgb="FFFFCC00"/>
      <rgbColor rgb="FFE58E1A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Yellow">
      <a:dk1>
        <a:srgbClr val="000000"/>
      </a:dk1>
      <a:lt1>
        <a:srgbClr val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279"/>
  <sheetViews>
    <sheetView showFormulas="0" showGridLines="1" showRowColHeaders="1" showZeros="1" rightToLeft="0" tabSelected="0" showOutlineSymbols="1" defaultGridColor="1" view="normal" topLeftCell="A1" colorId="64" zoomScale="150" zoomScaleNormal="150" zoomScalePageLayoutView="100" workbookViewId="0">
      <pane xSplit="0" ySplit="5" topLeftCell="A6" activePane="bottomLeft" state="frozen"/>
      <selection pane="topLeft" activeCell="A1" activeCellId="0" sqref="A1"/>
      <selection pane="bottomLeft" activeCell="A5" activeCellId="0" sqref="A5"/>
    </sheetView>
  </sheetViews>
  <sheetFormatPr baseColWidth="8" defaultColWidth="8.66796875" defaultRowHeight="15" zeroHeight="0" outlineLevelRow="0"/>
  <cols>
    <col width="15.16" customWidth="1" style="114" min="1" max="1"/>
    <col width="55" customWidth="1" style="115" min="2" max="2"/>
    <col width="30.51" customWidth="1" style="115" min="3" max="3"/>
    <col width="12" customWidth="1" style="115" min="4" max="4"/>
    <col width="18" customWidth="1" style="115" min="5" max="5"/>
    <col width="10.16" customWidth="1" style="115" min="6" max="6"/>
    <col width="26.5" customWidth="1" style="115" min="7" max="7"/>
    <col width="42" customWidth="1" style="115" min="8" max="8"/>
    <col width="20" customWidth="1" style="116" min="9" max="9"/>
  </cols>
  <sheetData>
    <row r="1" ht="17.25" customHeight="1" s="116">
      <c r="A1" s="117" t="inlineStr">
        <is>
          <t>ACTC PCS SaaS Replacement — Development Workplan v8</t>
        </is>
      </c>
    </row>
    <row r="2" ht="15" customHeight="1" s="116">
      <c r="A2" s="118" t="inlineStr">
        <is>
          <t>Alameda County Transportation Commission | Cole Management &amp; Engineering</t>
        </is>
      </c>
    </row>
    <row r="3" ht="15" customHeight="1" s="116">
      <c r="A3" s="118" t="inlineStr">
        <is>
          <t>Date: April 19, 2026 | Contract kickoff: May 1, 2026 | Rates: B7 R26-003 2026 baseline, 3% Jan 1 escalation | v8 adds Status column — all rows Not Started (contract has not yet begun)</t>
        </is>
      </c>
    </row>
    <row r="4" ht="15.75" customHeight="1" s="116"/>
    <row r="5" ht="15" customHeight="1" s="116">
      <c r="A5" s="119" t="inlineStr">
        <is>
          <t>WBS</t>
        </is>
      </c>
      <c r="B5" s="119" t="inlineStr">
        <is>
          <t>Task / Deliverable</t>
        </is>
      </c>
      <c r="C5" s="119" t="inlineStr">
        <is>
          <t>Start</t>
        </is>
      </c>
      <c r="D5" s="119" t="inlineStr">
        <is>
          <t>Finish</t>
        </is>
      </c>
      <c r="E5" s="119" t="inlineStr">
        <is>
          <t>Resource</t>
        </is>
      </c>
      <c r="F5" s="119" t="inlineStr">
        <is>
          <t>Hours</t>
        </is>
      </c>
      <c r="G5" s="119" t="inlineStr">
        <is>
          <t>Cost</t>
        </is>
      </c>
      <c r="H5" s="119" t="inlineStr">
        <is>
          <t>Notes</t>
        </is>
      </c>
      <c r="I5" s="120" t="inlineStr">
        <is>
          <t>Status</t>
        </is>
      </c>
    </row>
    <row r="6" ht="15" customHeight="1" s="116">
      <c r="A6" s="121" t="inlineStr">
        <is>
          <t>1</t>
        </is>
      </c>
      <c r="B6" s="122" t="inlineStr">
        <is>
          <t>PHASE 1: CORE MVP (May – Oct 2026)</t>
        </is>
      </c>
      <c r="C6" s="123" t="n">
        <v>46143</v>
      </c>
      <c r="D6" s="123" t="n">
        <v>46325</v>
      </c>
      <c r="E6" s="122" t="n"/>
      <c r="F6" s="124" t="n"/>
      <c r="G6" s="125" t="n"/>
      <c r="H6" s="126" t="n"/>
    </row>
    <row r="7" ht="15" customHeight="1" s="116">
      <c r="A7" s="127" t="inlineStr">
        <is>
          <t>1.0</t>
        </is>
      </c>
      <c r="B7" s="128" t="inlineStr">
        <is>
          <t>Database Learning &amp; Restructuring (Deliverable: Data Dictionary)</t>
        </is>
      </c>
      <c r="C7" s="129" t="n">
        <v>46143</v>
      </c>
      <c r="D7" s="129" t="n">
        <v>46192</v>
      </c>
      <c r="E7" s="128" t="n"/>
      <c r="F7" s="128" t="n"/>
      <c r="G7" s="128" t="n"/>
      <c r="H7" s="128" t="n"/>
    </row>
    <row r="8" ht="15" customHeight="1" s="116">
      <c r="A8" s="130" t="inlineStr">
        <is>
          <t>1.0.1</t>
        </is>
      </c>
      <c r="B8" s="131" t="inlineStr">
        <is>
          <t>Legacy DB inventory — map 426 tables, 184 views, 61 AccuFund sync, identify active vs legacy</t>
        </is>
      </c>
      <c r="C8" s="132" t="n">
        <v>46143</v>
      </c>
      <c r="D8" s="132" t="n">
        <v>46171</v>
      </c>
      <c r="E8" s="130" t="inlineStr">
        <is>
          <t>Nassayan</t>
        </is>
      </c>
      <c r="F8" s="133" t="n">
        <v>40</v>
      </c>
      <c r="G8" s="134">
        <f>F8*260</f>
        <v/>
      </c>
      <c r="H8" s="131" t="inlineStr">
        <is>
          <t>Full table/view walkthrough</t>
        </is>
      </c>
      <c r="I8" s="135" t="inlineStr">
        <is>
          <t>Not Started</t>
        </is>
      </c>
    </row>
    <row r="9" ht="15" customHeight="1" s="116">
      <c r="A9" s="130" t="inlineStr">
        <is>
          <t>1.0.1</t>
        </is>
      </c>
      <c r="B9" s="131" t="inlineStr">
        <is>
          <t>Legacy DB inventory — map 426 tables, 184 views, 61 AccuFund sync, identify active vs legacy</t>
        </is>
      </c>
      <c r="C9" s="132" t="n">
        <v>46143</v>
      </c>
      <c r="D9" s="132" t="n">
        <v>46171</v>
      </c>
      <c r="E9" s="130" t="inlineStr">
        <is>
          <t>Cole</t>
        </is>
      </c>
      <c r="F9" s="133" t="n">
        <v>20</v>
      </c>
      <c r="G9" s="134">
        <f>F9*407.04</f>
        <v/>
      </c>
      <c r="H9" s="131" t="inlineStr">
        <is>
          <t>Paired with Tom</t>
        </is>
      </c>
      <c r="I9" s="135" t="inlineStr">
        <is>
          <t>Not Started</t>
        </is>
      </c>
    </row>
    <row r="10" ht="15" customHeight="1" s="116">
      <c r="A10" s="130" t="inlineStr">
        <is>
          <t>1.0.2</t>
        </is>
      </c>
      <c r="B10" s="131" t="inlineStr">
        <is>
          <t>Data dictionary — table purpose, column definitions, relationships, report lineage</t>
        </is>
      </c>
      <c r="C10" s="132" t="n">
        <v>46160</v>
      </c>
      <c r="D10" s="132" t="n">
        <v>46185</v>
      </c>
      <c r="E10" s="130" t="inlineStr">
        <is>
          <t>Nassayan</t>
        </is>
      </c>
      <c r="F10" s="133" t="n">
        <v>32</v>
      </c>
      <c r="G10" s="134">
        <f>F10*260</f>
        <v/>
      </c>
      <c r="H10" s="131" t="inlineStr">
        <is>
          <t>Living doc</t>
        </is>
      </c>
      <c r="I10" s="135" t="inlineStr">
        <is>
          <t>Not Started</t>
        </is>
      </c>
    </row>
    <row r="11" ht="15" customHeight="1" s="116">
      <c r="A11" s="130" t="inlineStr">
        <is>
          <t>1.0.2</t>
        </is>
      </c>
      <c r="B11" s="131" t="inlineStr">
        <is>
          <t>Data dictionary — table purpose, column definitions, relationships, report lineage</t>
        </is>
      </c>
      <c r="C11" s="132" t="n">
        <v>46160</v>
      </c>
      <c r="D11" s="132" t="n">
        <v>46185</v>
      </c>
      <c r="E11" s="130" t="inlineStr">
        <is>
          <t>Cole</t>
        </is>
      </c>
      <c r="F11" s="133" t="n">
        <v>24</v>
      </c>
      <c r="G11" s="134">
        <f>F11*407.04</f>
        <v/>
      </c>
      <c r="H11" s="131" t="n"/>
      <c r="I11" s="135" t="inlineStr">
        <is>
          <t>Not Started</t>
        </is>
      </c>
    </row>
    <row r="12" ht="15" customHeight="1" s="116">
      <c r="A12" s="130" t="inlineStr">
        <is>
          <t>1.0.3</t>
        </is>
      </c>
      <c r="B12" s="131" t="inlineStr">
        <is>
          <t>Findings package — feeds schema design (1.1.1) and cleanup plan (1.11)</t>
        </is>
      </c>
      <c r="C12" s="132" t="n">
        <v>46174</v>
      </c>
      <c r="D12" s="132" t="n">
        <v>46192</v>
      </c>
      <c r="E12" s="130" t="inlineStr">
        <is>
          <t>Nassayan</t>
        </is>
      </c>
      <c r="F12" s="133" t="n">
        <v>24</v>
      </c>
      <c r="G12" s="134">
        <f>F12*260</f>
        <v/>
      </c>
      <c r="H12" s="131" t="inlineStr">
        <is>
          <t>Input to 1.1.1 and 1.11</t>
        </is>
      </c>
      <c r="I12" s="135" t="inlineStr">
        <is>
          <t>Not Started</t>
        </is>
      </c>
    </row>
    <row r="13" ht="15" customHeight="1" s="116">
      <c r="A13" s="130" t="inlineStr">
        <is>
          <t>1.0.3</t>
        </is>
      </c>
      <c r="B13" s="131" t="inlineStr">
        <is>
          <t>Findings package — feeds schema design (1.1.1) and cleanup plan (1.11)</t>
        </is>
      </c>
      <c r="C13" s="132" t="n">
        <v>46174</v>
      </c>
      <c r="D13" s="132" t="n">
        <v>46192</v>
      </c>
      <c r="E13" s="130" t="inlineStr">
        <is>
          <t>Cole</t>
        </is>
      </c>
      <c r="F13" s="133" t="n">
        <v>20</v>
      </c>
      <c r="G13" s="134">
        <f>F13*407.04</f>
        <v/>
      </c>
      <c r="H13" s="131" t="inlineStr">
        <is>
          <t>Input to 1.1.1 and 1.11</t>
        </is>
      </c>
      <c r="I13" s="135" t="inlineStr">
        <is>
          <t>Not Started</t>
        </is>
      </c>
    </row>
    <row r="14" ht="15" customHeight="1" s="116">
      <c r="A14" s="136" t="inlineStr">
        <is>
          <t>1.1</t>
        </is>
      </c>
      <c r="B14" s="137" t="inlineStr">
        <is>
          <t>Infrastructure &amp; Architecture</t>
        </is>
      </c>
      <c r="C14" s="138" t="n">
        <v>46143</v>
      </c>
      <c r="D14" s="138" t="n">
        <v>46200</v>
      </c>
      <c r="E14" s="137" t="n"/>
      <c r="F14" s="139" t="n"/>
      <c r="G14" s="140" t="n"/>
      <c r="H14" s="141" t="n"/>
    </row>
    <row r="15" ht="15" customHeight="1" s="116">
      <c r="A15" s="142" t="inlineStr">
        <is>
          <t>1.1.1</t>
        </is>
      </c>
      <c r="B15" s="143" t="inlineStr">
        <is>
          <t>Supabase schema design, RLS policies, audit trail</t>
        </is>
      </c>
      <c r="C15" s="144" t="n">
        <v>46143</v>
      </c>
      <c r="D15" s="144" t="n">
        <v>46165</v>
      </c>
      <c r="E15" s="143" t="inlineStr">
        <is>
          <t>Cole</t>
        </is>
      </c>
      <c r="F15" s="145" t="n">
        <v>52</v>
      </c>
      <c r="G15" s="146">
        <f>F15*407.04</f>
        <v/>
      </c>
      <c r="H15" s="147" t="n"/>
      <c r="I15" s="135" t="inlineStr">
        <is>
          <t>Not Started</t>
        </is>
      </c>
    </row>
    <row r="16" ht="15" customHeight="1" s="116">
      <c r="A16" s="142" t="inlineStr">
        <is>
          <t>1.1.1</t>
        </is>
      </c>
      <c r="B16" s="143" t="inlineStr">
        <is>
          <t>Supabase schema design, RLS policies, audit trail</t>
        </is>
      </c>
      <c r="C16" s="144" t="n">
        <v>46143</v>
      </c>
      <c r="D16" s="144" t="n">
        <v>46165</v>
      </c>
      <c r="E16" s="143" t="inlineStr">
        <is>
          <t>Brown</t>
        </is>
      </c>
      <c r="F16" s="145" t="n">
        <v>40</v>
      </c>
      <c r="G16" s="146">
        <f>F16*217.8</f>
        <v/>
      </c>
      <c r="H16" s="147" t="n"/>
      <c r="I16" s="135" t="inlineStr">
        <is>
          <t>Not Started</t>
        </is>
      </c>
    </row>
    <row r="17" ht="15" customHeight="1" s="116">
      <c r="A17" s="142" t="inlineStr">
        <is>
          <t>1.1.1</t>
        </is>
      </c>
      <c r="B17" s="143" t="inlineStr">
        <is>
          <t>Supabase schema design, RLS policies, audit trail</t>
        </is>
      </c>
      <c r="C17" s="144" t="n">
        <v>46143</v>
      </c>
      <c r="D17" s="144" t="n">
        <v>46165</v>
      </c>
      <c r="E17" s="143" t="inlineStr">
        <is>
          <t>Nassayan</t>
        </is>
      </c>
      <c r="F17" s="145" t="n">
        <v>60</v>
      </c>
      <c r="G17" s="146">
        <f>F17*260</f>
        <v/>
      </c>
      <c r="H17" s="147" t="inlineStr">
        <is>
          <t>DB schema lead</t>
        </is>
      </c>
      <c r="I17" s="135" t="inlineStr">
        <is>
          <t>Not Started</t>
        </is>
      </c>
    </row>
    <row r="18" ht="15" customHeight="1" s="116">
      <c r="A18" s="142" t="inlineStr">
        <is>
          <t>1.1.2</t>
        </is>
      </c>
      <c r="B18" s="143" t="inlineStr">
        <is>
          <t>Auth system (Google + Microsoft OAuth)</t>
        </is>
      </c>
      <c r="C18" s="144" t="n">
        <v>46147</v>
      </c>
      <c r="D18" s="144" t="n">
        <v>46158</v>
      </c>
      <c r="E18" s="143" t="inlineStr">
        <is>
          <t>Cole</t>
        </is>
      </c>
      <c r="F18" s="145" t="n">
        <v>16</v>
      </c>
      <c r="G18" s="146">
        <f>F18*407.04</f>
        <v/>
      </c>
      <c r="H18" s="147" t="n"/>
      <c r="I18" s="135" t="inlineStr">
        <is>
          <t>Not Started</t>
        </is>
      </c>
    </row>
    <row r="19" ht="15" customHeight="1" s="116">
      <c r="A19" s="142" t="inlineStr">
        <is>
          <t>1.1.2</t>
        </is>
      </c>
      <c r="B19" s="143" t="inlineStr">
        <is>
          <t>Auth system (Google + Microsoft OAuth)</t>
        </is>
      </c>
      <c r="C19" s="144" t="n">
        <v>46147</v>
      </c>
      <c r="D19" s="144" t="n">
        <v>46158</v>
      </c>
      <c r="E19" s="143" t="inlineStr">
        <is>
          <t>Brown</t>
        </is>
      </c>
      <c r="F19" s="145" t="n">
        <v>16</v>
      </c>
      <c r="G19" s="146">
        <f>F19*217.8</f>
        <v/>
      </c>
      <c r="H19" s="147" t="n"/>
      <c r="I19" s="135" t="inlineStr">
        <is>
          <t>Not Started</t>
        </is>
      </c>
    </row>
    <row r="20" ht="15" customHeight="1" s="116">
      <c r="A20" s="142" t="inlineStr">
        <is>
          <t>1.1.3</t>
        </is>
      </c>
      <c r="B20" s="143" t="inlineStr">
        <is>
          <t>Workflow engine &amp; visual editor</t>
        </is>
      </c>
      <c r="C20" s="144" t="n">
        <v>46154</v>
      </c>
      <c r="D20" s="144" t="n">
        <v>46179</v>
      </c>
      <c r="E20" s="143" t="inlineStr">
        <is>
          <t>Cole</t>
        </is>
      </c>
      <c r="F20" s="145" t="n">
        <v>52</v>
      </c>
      <c r="G20" s="146">
        <f>F20*407.04</f>
        <v/>
      </c>
      <c r="H20" s="147" t="n"/>
      <c r="I20" s="135" t="inlineStr">
        <is>
          <t>Not Started</t>
        </is>
      </c>
    </row>
    <row r="21" ht="15" customHeight="1" s="116">
      <c r="A21" s="142" t="inlineStr">
        <is>
          <t>1.1.3</t>
        </is>
      </c>
      <c r="B21" s="143" t="inlineStr">
        <is>
          <t>Workflow engine &amp; visual editor</t>
        </is>
      </c>
      <c r="C21" s="144" t="n">
        <v>46154</v>
      </c>
      <c r="D21" s="144" t="n">
        <v>46179</v>
      </c>
      <c r="E21" s="143" t="inlineStr">
        <is>
          <t>Brown</t>
        </is>
      </c>
      <c r="F21" s="145" t="n">
        <v>48</v>
      </c>
      <c r="G21" s="146">
        <f>F21*217.8</f>
        <v/>
      </c>
      <c r="H21" s="147" t="n"/>
      <c r="I21" s="135" t="inlineStr">
        <is>
          <t>Not Started</t>
        </is>
      </c>
    </row>
    <row r="22" ht="15" customHeight="1" s="116">
      <c r="A22" s="142" t="inlineStr">
        <is>
          <t>1.1.3</t>
        </is>
      </c>
      <c r="B22" s="143" t="inlineStr">
        <is>
          <t>Workflow engine &amp; visual editor</t>
        </is>
      </c>
      <c r="C22" s="144" t="n">
        <v>46154</v>
      </c>
      <c r="D22" s="144" t="n">
        <v>46179</v>
      </c>
      <c r="E22" s="143" t="inlineStr">
        <is>
          <t>Mortazavi</t>
        </is>
      </c>
      <c r="F22" s="145" t="n">
        <v>16</v>
      </c>
      <c r="G22" s="146">
        <f>F22*278.3</f>
        <v/>
      </c>
      <c r="H22" s="147" t="inlineStr">
        <is>
          <t>AI workflow patterns</t>
        </is>
      </c>
      <c r="I22" s="135" t="inlineStr">
        <is>
          <t>Not Started</t>
        </is>
      </c>
    </row>
    <row r="23" ht="15" customHeight="1" s="116">
      <c r="A23" s="142" t="inlineStr">
        <is>
          <t>1.1.4</t>
        </is>
      </c>
      <c r="B23" s="143" t="inlineStr">
        <is>
          <t>Notification system, email templates, delegation</t>
        </is>
      </c>
      <c r="C23" s="144" t="n">
        <v>46161</v>
      </c>
      <c r="D23" s="144" t="n">
        <v>46186</v>
      </c>
      <c r="E23" s="143" t="inlineStr">
        <is>
          <t>Cole</t>
        </is>
      </c>
      <c r="F23" s="145" t="n">
        <v>28</v>
      </c>
      <c r="G23" s="146">
        <f>F23*407.04</f>
        <v/>
      </c>
      <c r="H23" s="147" t="n"/>
      <c r="I23" s="135" t="inlineStr">
        <is>
          <t>Not Started</t>
        </is>
      </c>
    </row>
    <row r="24" ht="15" customHeight="1" s="116">
      <c r="A24" s="142" t="inlineStr">
        <is>
          <t>1.1.4</t>
        </is>
      </c>
      <c r="B24" s="143" t="inlineStr">
        <is>
          <t>Notification system, email templates, delegation</t>
        </is>
      </c>
      <c r="C24" s="144" t="n">
        <v>46161</v>
      </c>
      <c r="D24" s="144" t="n">
        <v>46186</v>
      </c>
      <c r="E24" s="143" t="inlineStr">
        <is>
          <t>Brown</t>
        </is>
      </c>
      <c r="F24" s="145" t="n">
        <v>28</v>
      </c>
      <c r="G24" s="146">
        <f>F24*217.8</f>
        <v/>
      </c>
      <c r="H24" s="147" t="n"/>
      <c r="I24" s="135" t="inlineStr">
        <is>
          <t>Not Started</t>
        </is>
      </c>
    </row>
    <row r="25" ht="15" customHeight="1" s="116">
      <c r="A25" s="142" t="inlineStr">
        <is>
          <t>1.1.5</t>
        </is>
      </c>
      <c r="B25" s="143" t="inlineStr">
        <is>
          <t>Home dashboard &amp; "In Your Court" work queue</t>
        </is>
      </c>
      <c r="C25" s="144" t="n">
        <v>46174</v>
      </c>
      <c r="D25" s="144" t="n">
        <v>46192</v>
      </c>
      <c r="E25" s="143" t="inlineStr">
        <is>
          <t>Cole</t>
        </is>
      </c>
      <c r="F25" s="145" t="n">
        <v>28</v>
      </c>
      <c r="G25" s="146">
        <f>F25*407.04</f>
        <v/>
      </c>
      <c r="H25" s="147" t="n"/>
      <c r="I25" s="135" t="inlineStr">
        <is>
          <t>Not Started</t>
        </is>
      </c>
    </row>
    <row r="26" ht="15" customHeight="1" s="116">
      <c r="A26" s="142" t="inlineStr">
        <is>
          <t>1.1.5</t>
        </is>
      </c>
      <c r="B26" s="143" t="inlineStr">
        <is>
          <t>Home dashboard &amp; "In Your Court" work queue</t>
        </is>
      </c>
      <c r="C26" s="144" t="n">
        <v>46174</v>
      </c>
      <c r="D26" s="144" t="n">
        <v>46192</v>
      </c>
      <c r="E26" s="143" t="inlineStr">
        <is>
          <t>Brown</t>
        </is>
      </c>
      <c r="F26" s="145" t="n">
        <v>32</v>
      </c>
      <c r="G26" s="146">
        <f>F26*217.8</f>
        <v/>
      </c>
      <c r="H26" s="147" t="n"/>
      <c r="I26" s="135" t="inlineStr">
        <is>
          <t>Not Started</t>
        </is>
      </c>
    </row>
    <row r="27" ht="15" customHeight="1" s="116">
      <c r="A27" s="142" t="inlineStr">
        <is>
          <t>1.1.6</t>
        </is>
      </c>
      <c r="B27" s="143" t="inlineStr">
        <is>
          <t>BigQuery sync pipeline setup</t>
        </is>
      </c>
      <c r="C27" s="144" t="n">
        <v>46181</v>
      </c>
      <c r="D27" s="144" t="n">
        <v>46200</v>
      </c>
      <c r="E27" s="143" t="inlineStr">
        <is>
          <t>Nassayan</t>
        </is>
      </c>
      <c r="F27" s="145" t="n">
        <v>48</v>
      </c>
      <c r="G27" s="146">
        <f>F27*260</f>
        <v/>
      </c>
      <c r="H27" s="147" t="inlineStr">
        <is>
          <t>BQ analytics layer</t>
        </is>
      </c>
      <c r="I27" s="135" t="inlineStr">
        <is>
          <t>Not Started</t>
        </is>
      </c>
    </row>
    <row r="28" ht="15" customHeight="1" s="116">
      <c r="A28" s="142" t="inlineStr">
        <is>
          <t>1.1.6</t>
        </is>
      </c>
      <c r="B28" s="143" t="inlineStr">
        <is>
          <t>BigQuery sync pipeline setup</t>
        </is>
      </c>
      <c r="C28" s="144" t="n">
        <v>46181</v>
      </c>
      <c r="D28" s="144" t="n">
        <v>46200</v>
      </c>
      <c r="E28" s="143" t="inlineStr">
        <is>
          <t>Cole</t>
        </is>
      </c>
      <c r="F28" s="145" t="n">
        <v>12</v>
      </c>
      <c r="G28" s="146">
        <f>F28*407.04</f>
        <v/>
      </c>
      <c r="H28" s="147" t="n"/>
      <c r="I28" s="135" t="inlineStr">
        <is>
          <t>Not Started</t>
        </is>
      </c>
    </row>
    <row r="29" ht="15" customHeight="1" s="116">
      <c r="A29" s="142" t="inlineStr">
        <is>
          <t>1.1.7</t>
        </is>
      </c>
      <c r="B29" s="143" t="inlineStr">
        <is>
          <t>Infrastructure testing &amp; compliance review</t>
        </is>
      </c>
      <c r="C29" s="144" t="n">
        <v>46189</v>
      </c>
      <c r="D29" s="144" t="n">
        <v>46200</v>
      </c>
      <c r="E29" s="143" t="inlineStr">
        <is>
          <t>Salzwedel</t>
        </is>
      </c>
      <c r="F29" s="145" t="n">
        <v>12</v>
      </c>
      <c r="G29" s="146">
        <f>F29*216.66</f>
        <v/>
      </c>
      <c r="H29" s="147" t="inlineStr">
        <is>
          <t>ACTC compliance</t>
        </is>
      </c>
      <c r="I29" s="135" t="inlineStr">
        <is>
          <t>Not Started</t>
        </is>
      </c>
    </row>
    <row r="30" ht="15" customHeight="1" s="116">
      <c r="A30" s="142" t="inlineStr">
        <is>
          <t>1.1.7</t>
        </is>
      </c>
      <c r="B30" s="143" t="inlineStr">
        <is>
          <t>Infrastructure testing &amp; compliance review</t>
        </is>
      </c>
      <c r="C30" s="144" t="n">
        <v>46189</v>
      </c>
      <c r="D30" s="144" t="n">
        <v>46200</v>
      </c>
      <c r="E30" s="143" t="inlineStr">
        <is>
          <t>Chang</t>
        </is>
      </c>
      <c r="F30" s="145" t="n">
        <v>16</v>
      </c>
      <c r="G30" s="146">
        <f>F30*102.89</f>
        <v/>
      </c>
      <c r="H30" s="147" t="n"/>
      <c r="I30" s="135" t="inlineStr">
        <is>
          <t>Not Started</t>
        </is>
      </c>
    </row>
    <row r="31" ht="15" customHeight="1" s="116">
      <c r="A31" s="142" t="inlineStr">
        <is>
          <t>1.1.7</t>
        </is>
      </c>
      <c r="B31" s="143" t="inlineStr">
        <is>
          <t>Infrastructure testing &amp; compliance review</t>
        </is>
      </c>
      <c r="C31" s="144" t="n">
        <v>46189</v>
      </c>
      <c r="D31" s="144" t="n">
        <v>46200</v>
      </c>
      <c r="E31" s="143" t="inlineStr">
        <is>
          <t>Lee</t>
        </is>
      </c>
      <c r="F31" s="145" t="n">
        <v>16</v>
      </c>
      <c r="G31" s="146">
        <f>F31*114.65</f>
        <v/>
      </c>
      <c r="H31" s="147" t="n"/>
      <c r="I31" s="135" t="inlineStr">
        <is>
          <t>Not Started</t>
        </is>
      </c>
    </row>
    <row r="32" ht="15" customHeight="1" s="116">
      <c r="A32" s="148" t="inlineStr">
        <is>
          <t>M1</t>
        </is>
      </c>
      <c r="B32" s="149" t="inlineStr">
        <is>
          <t>★ Infrastructure Complete (Auth, RLS, Workflow Engine)</t>
        </is>
      </c>
      <c r="C32" s="150" t="n"/>
      <c r="D32" s="151" t="n">
        <v>46200</v>
      </c>
      <c r="E32" s="149" t="n"/>
      <c r="F32" s="150" t="n"/>
      <c r="G32" s="152" t="n"/>
      <c r="H32" s="153" t="n"/>
    </row>
    <row r="33" ht="15" customHeight="1" s="116">
      <c r="A33" s="136" t="inlineStr">
        <is>
          <t>1.2</t>
        </is>
      </c>
      <c r="B33" s="137" t="inlineStr">
        <is>
          <t>Programming Module</t>
        </is>
      </c>
      <c r="C33" s="138" t="n">
        <v>46175</v>
      </c>
      <c r="D33" s="138" t="n">
        <v>46213</v>
      </c>
      <c r="E33" s="137" t="n"/>
      <c r="F33" s="139" t="n"/>
      <c r="G33" s="140" t="n"/>
      <c r="H33" s="141" t="n"/>
    </row>
    <row r="34" ht="15" customHeight="1" s="116">
      <c r="A34" s="142" t="inlineStr">
        <is>
          <t>1.2.1</t>
        </is>
      </c>
      <c r="B34" s="143" t="inlineStr">
        <is>
          <t>Programming data model &amp; fund source management</t>
        </is>
      </c>
      <c r="C34" s="144" t="n">
        <v>46175</v>
      </c>
      <c r="D34" s="144" t="n">
        <v>46193</v>
      </c>
      <c r="E34" s="143" t="inlineStr">
        <is>
          <t>Cole</t>
        </is>
      </c>
      <c r="F34" s="145" t="n">
        <v>36</v>
      </c>
      <c r="G34" s="146">
        <f>F34*407.04</f>
        <v/>
      </c>
      <c r="H34" s="147" t="n"/>
      <c r="I34" s="135" t="inlineStr">
        <is>
          <t>Not Started</t>
        </is>
      </c>
    </row>
    <row r="35" ht="15" customHeight="1" s="116">
      <c r="A35" s="142" t="inlineStr">
        <is>
          <t>1.2.1</t>
        </is>
      </c>
      <c r="B35" s="143" t="inlineStr">
        <is>
          <t>Programming data model &amp; fund source management</t>
        </is>
      </c>
      <c r="C35" s="144" t="n">
        <v>46175</v>
      </c>
      <c r="D35" s="144" t="n">
        <v>46193</v>
      </c>
      <c r="E35" s="143" t="inlineStr">
        <is>
          <t>Nassayan</t>
        </is>
      </c>
      <c r="F35" s="145" t="n">
        <v>32</v>
      </c>
      <c r="G35" s="146">
        <f>F35*260</f>
        <v/>
      </c>
      <c r="H35" s="147" t="inlineStr">
        <is>
          <t>DB tables/views</t>
        </is>
      </c>
      <c r="I35" s="135" t="inlineStr">
        <is>
          <t>Not Started</t>
        </is>
      </c>
    </row>
    <row r="36" ht="15" customHeight="1" s="116">
      <c r="A36" s="142" t="inlineStr">
        <is>
          <t>1.2.1</t>
        </is>
      </c>
      <c r="B36" s="143" t="inlineStr">
        <is>
          <t>Programming data model &amp; fund source management</t>
        </is>
      </c>
      <c r="C36" s="144" t="n">
        <v>46175</v>
      </c>
      <c r="D36" s="144" t="n">
        <v>46193</v>
      </c>
      <c r="E36" s="143" t="inlineStr">
        <is>
          <t>Brown</t>
        </is>
      </c>
      <c r="F36" s="145" t="n">
        <v>28</v>
      </c>
      <c r="G36" s="146">
        <f>F36*217.8</f>
        <v/>
      </c>
      <c r="H36" s="147" t="n"/>
      <c r="I36" s="135" t="inlineStr">
        <is>
          <t>Not Started</t>
        </is>
      </c>
    </row>
    <row r="37" ht="15" customHeight="1" s="116">
      <c r="A37" s="142" t="inlineStr">
        <is>
          <t>1.2.2</t>
        </is>
      </c>
      <c r="B37" s="143" t="inlineStr">
        <is>
          <t>CIP amendment workflow &amp; allocation tracking</t>
        </is>
      </c>
      <c r="C37" s="144" t="n">
        <v>46188</v>
      </c>
      <c r="D37" s="144" t="n">
        <v>46206</v>
      </c>
      <c r="E37" s="143" t="inlineStr">
        <is>
          <t>Cole</t>
        </is>
      </c>
      <c r="F37" s="145" t="n">
        <v>24</v>
      </c>
      <c r="G37" s="146">
        <f>F37*407.04</f>
        <v/>
      </c>
      <c r="H37" s="147" t="n"/>
      <c r="I37" s="135" t="inlineStr">
        <is>
          <t>Not Started</t>
        </is>
      </c>
    </row>
    <row r="38" ht="15" customHeight="1" s="116">
      <c r="A38" s="142" t="inlineStr">
        <is>
          <t>1.2.2</t>
        </is>
      </c>
      <c r="B38" s="143" t="inlineStr">
        <is>
          <t>CIP amendment workflow &amp; allocation tracking</t>
        </is>
      </c>
      <c r="C38" s="144" t="n">
        <v>46188</v>
      </c>
      <c r="D38" s="144" t="n">
        <v>46206</v>
      </c>
      <c r="E38" s="143" t="inlineStr">
        <is>
          <t>Brown</t>
        </is>
      </c>
      <c r="F38" s="145" t="n">
        <v>24</v>
      </c>
      <c r="G38" s="146">
        <f>F38*217.8</f>
        <v/>
      </c>
      <c r="H38" s="147" t="n"/>
      <c r="I38" s="135" t="inlineStr">
        <is>
          <t>Not Started</t>
        </is>
      </c>
    </row>
    <row r="39" ht="15" customHeight="1" s="116">
      <c r="A39" s="142" t="inlineStr">
        <is>
          <t>1.2.3</t>
        </is>
      </c>
      <c r="B39" s="143" t="inlineStr">
        <is>
          <t>Programming UI, search, filter, print/export</t>
        </is>
      </c>
      <c r="C39" s="144" t="n">
        <v>46195</v>
      </c>
      <c r="D39" s="144" t="n">
        <v>46213</v>
      </c>
      <c r="E39" s="143" t="inlineStr">
        <is>
          <t>Cole</t>
        </is>
      </c>
      <c r="F39" s="145" t="n">
        <v>16</v>
      </c>
      <c r="G39" s="146">
        <f>F39*407.04</f>
        <v/>
      </c>
      <c r="H39" s="147" t="n"/>
      <c r="I39" s="135" t="inlineStr">
        <is>
          <t>Not Started</t>
        </is>
      </c>
    </row>
    <row r="40" ht="15" customHeight="1" s="116">
      <c r="A40" s="142" t="inlineStr">
        <is>
          <t>1.2.3</t>
        </is>
      </c>
      <c r="B40" s="143" t="inlineStr">
        <is>
          <t>Programming UI, search, filter, print/export</t>
        </is>
      </c>
      <c r="C40" s="144" t="n">
        <v>46195</v>
      </c>
      <c r="D40" s="144" t="n">
        <v>46213</v>
      </c>
      <c r="E40" s="143" t="inlineStr">
        <is>
          <t>Brown</t>
        </is>
      </c>
      <c r="F40" s="145" t="n">
        <v>20</v>
      </c>
      <c r="G40" s="146">
        <f>F40*217.8</f>
        <v/>
      </c>
      <c r="H40" s="147" t="n"/>
      <c r="I40" s="135" t="inlineStr">
        <is>
          <t>Not Started</t>
        </is>
      </c>
    </row>
    <row r="41" ht="15" customHeight="1" s="116">
      <c r="A41" s="142" t="inlineStr">
        <is>
          <t>1.2.4</t>
        </is>
      </c>
      <c r="B41" s="143" t="inlineStr">
        <is>
          <t>Programming module documentation</t>
        </is>
      </c>
      <c r="C41" s="144" t="n">
        <v>46204</v>
      </c>
      <c r="D41" s="144" t="n">
        <v>46213</v>
      </c>
      <c r="E41" s="143" t="inlineStr">
        <is>
          <t>Nipper</t>
        </is>
      </c>
      <c r="F41" s="145" t="n">
        <v>20</v>
      </c>
      <c r="G41" s="146">
        <f>F41*341.01</f>
        <v/>
      </c>
      <c r="H41" s="147" t="inlineStr">
        <is>
          <t>User guide + admin docs</t>
        </is>
      </c>
      <c r="I41" s="135" t="inlineStr">
        <is>
          <t>Not Started</t>
        </is>
      </c>
    </row>
    <row r="42" ht="15" customHeight="1" s="116">
      <c r="A42" s="136" t="inlineStr">
        <is>
          <t>1.3</t>
        </is>
      </c>
      <c r="B42" s="137" t="inlineStr">
        <is>
          <t>Projects Module</t>
        </is>
      </c>
      <c r="C42" s="138" t="n">
        <v>46204</v>
      </c>
      <c r="D42" s="138" t="n">
        <v>46241</v>
      </c>
      <c r="E42" s="137" t="n"/>
      <c r="F42" s="139" t="n"/>
      <c r="G42" s="140" t="n"/>
      <c r="H42" s="141" t="n"/>
    </row>
    <row r="43" ht="15" customHeight="1" s="116">
      <c r="A43" s="142" t="inlineStr">
        <is>
          <t>1.3.1</t>
        </is>
      </c>
      <c r="B43" s="143" t="inlineStr">
        <is>
          <t>Project data model, PNRF workflow, cost codes</t>
        </is>
      </c>
      <c r="C43" s="144" t="n">
        <v>46204</v>
      </c>
      <c r="D43" s="144" t="n">
        <v>46221</v>
      </c>
      <c r="E43" s="143" t="inlineStr">
        <is>
          <t>Cole</t>
        </is>
      </c>
      <c r="F43" s="145" t="n">
        <v>36</v>
      </c>
      <c r="G43" s="146">
        <f>F43*407.04</f>
        <v/>
      </c>
      <c r="H43" s="147" t="n"/>
      <c r="I43" s="135" t="inlineStr">
        <is>
          <t>Not Started</t>
        </is>
      </c>
    </row>
    <row r="44" ht="15" customHeight="1" s="116">
      <c r="A44" s="142" t="inlineStr">
        <is>
          <t>1.3.1</t>
        </is>
      </c>
      <c r="B44" s="143" t="inlineStr">
        <is>
          <t>Project data model, PNRF workflow, cost codes</t>
        </is>
      </c>
      <c r="C44" s="144" t="n">
        <v>46204</v>
      </c>
      <c r="D44" s="144" t="n">
        <v>46221</v>
      </c>
      <c r="E44" s="143" t="inlineStr">
        <is>
          <t>Nassayan</t>
        </is>
      </c>
      <c r="F44" s="145" t="n">
        <v>32</v>
      </c>
      <c r="G44" s="146">
        <f>F44*260</f>
        <v/>
      </c>
      <c r="H44" s="147" t="inlineStr">
        <is>
          <t>DB tables/views</t>
        </is>
      </c>
      <c r="I44" s="135" t="inlineStr">
        <is>
          <t>Not Started</t>
        </is>
      </c>
    </row>
    <row r="45" ht="15" customHeight="1" s="116">
      <c r="A45" s="142" t="inlineStr">
        <is>
          <t>1.3.1</t>
        </is>
      </c>
      <c r="B45" s="143" t="inlineStr">
        <is>
          <t>Project data model, PNRF workflow, cost codes</t>
        </is>
      </c>
      <c r="C45" s="144" t="n">
        <v>46204</v>
      </c>
      <c r="D45" s="144" t="n">
        <v>46221</v>
      </c>
      <c r="E45" s="143" t="inlineStr">
        <is>
          <t>Brown</t>
        </is>
      </c>
      <c r="F45" s="145" t="n">
        <v>32</v>
      </c>
      <c r="G45" s="146">
        <f>F45*217.8</f>
        <v/>
      </c>
      <c r="H45" s="147" t="n"/>
      <c r="I45" s="135" t="inlineStr">
        <is>
          <t>Not Started</t>
        </is>
      </c>
    </row>
    <row r="46" ht="15" customHeight="1" s="116">
      <c r="A46" s="142" t="inlineStr">
        <is>
          <t>1.3.2</t>
        </is>
      </c>
      <c r="B46" s="143" t="inlineStr">
        <is>
          <t>Project forecasts, PM Update view, Cost/Schedule Reports</t>
        </is>
      </c>
      <c r="C46" s="144" t="n">
        <v>46217</v>
      </c>
      <c r="D46" s="144" t="n">
        <v>46241</v>
      </c>
      <c r="E46" s="143" t="inlineStr">
        <is>
          <t>Cole</t>
        </is>
      </c>
      <c r="F46" s="145" t="n">
        <v>44</v>
      </c>
      <c r="G46" s="146">
        <f>F46*407.04</f>
        <v/>
      </c>
      <c r="H46" s="147" t="n"/>
      <c r="I46" s="135" t="inlineStr">
        <is>
          <t>Not Started</t>
        </is>
      </c>
    </row>
    <row r="47" ht="15" customHeight="1" s="116">
      <c r="A47" s="154" t="inlineStr">
        <is>
          <t>1.2.5</t>
        </is>
      </c>
      <c r="B47" s="154" t="inlineStr">
        <is>
          <t>Programming module testing</t>
        </is>
      </c>
      <c r="C47" s="155" t="n">
        <v>46209</v>
      </c>
      <c r="D47" s="155" t="n">
        <v>46213</v>
      </c>
      <c r="E47" s="154" t="inlineStr">
        <is>
          <t>Chang</t>
        </is>
      </c>
      <c r="F47" s="156" t="n">
        <v>12</v>
      </c>
      <c r="G47" s="157">
        <f>F47*102.89</f>
        <v/>
      </c>
      <c r="H47" s="158" t="n"/>
      <c r="I47" s="135" t="inlineStr">
        <is>
          <t>Not Started</t>
        </is>
      </c>
    </row>
    <row r="48" ht="15" customHeight="1" s="116">
      <c r="A48" s="154" t="inlineStr">
        <is>
          <t>1.2.5</t>
        </is>
      </c>
      <c r="B48" s="154" t="inlineStr">
        <is>
          <t>Programming module testing</t>
        </is>
      </c>
      <c r="C48" s="155" t="n">
        <v>46209</v>
      </c>
      <c r="D48" s="155" t="n">
        <v>46213</v>
      </c>
      <c r="E48" s="154" t="inlineStr">
        <is>
          <t>Lee</t>
        </is>
      </c>
      <c r="F48" s="156" t="n">
        <v>12</v>
      </c>
      <c r="G48" s="157">
        <f>F48*114.65</f>
        <v/>
      </c>
      <c r="H48" s="158" t="n"/>
      <c r="I48" s="135" t="inlineStr">
        <is>
          <t>Not Started</t>
        </is>
      </c>
    </row>
    <row r="49" ht="15" customHeight="1" s="116">
      <c r="A49" s="142" t="inlineStr">
        <is>
          <t>1.3.2</t>
        </is>
      </c>
      <c r="B49" s="143" t="inlineStr">
        <is>
          <t>Project forecasts, PM Update view, Cost/Schedule Reports</t>
        </is>
      </c>
      <c r="C49" s="144" t="n">
        <v>46217</v>
      </c>
      <c r="D49" s="144" t="n">
        <v>46241</v>
      </c>
      <c r="E49" s="143" t="inlineStr">
        <is>
          <t>Brown</t>
        </is>
      </c>
      <c r="F49" s="145" t="n">
        <v>32</v>
      </c>
      <c r="G49" s="146">
        <f>F49*217.8</f>
        <v/>
      </c>
      <c r="H49" s="147" t="n"/>
      <c r="I49" s="135" t="inlineStr">
        <is>
          <t>Not Started</t>
        </is>
      </c>
    </row>
    <row r="50" ht="15" customHeight="1" s="116">
      <c r="A50" s="142" t="inlineStr">
        <is>
          <t>1.3.3</t>
        </is>
      </c>
      <c r="B50" s="143" t="inlineStr">
        <is>
          <t>Projects module documentation</t>
        </is>
      </c>
      <c r="C50" s="144" t="n">
        <v>46231</v>
      </c>
      <c r="D50" s="144" t="n">
        <v>46241</v>
      </c>
      <c r="E50" s="143" t="inlineStr">
        <is>
          <t>Nipper</t>
        </is>
      </c>
      <c r="F50" s="145" t="n">
        <v>20</v>
      </c>
      <c r="G50" s="146">
        <f>F50*341.01</f>
        <v/>
      </c>
      <c r="H50" s="147" t="n"/>
      <c r="I50" s="135" t="inlineStr">
        <is>
          <t>Not Started</t>
        </is>
      </c>
    </row>
    <row r="51" ht="15" customHeight="1" s="116">
      <c r="A51" s="136" t="inlineStr">
        <is>
          <t>1.4</t>
        </is>
      </c>
      <c r="B51" s="137" t="inlineStr">
        <is>
          <t>Contracts Module</t>
        </is>
      </c>
      <c r="C51" s="138" t="n">
        <v>46217</v>
      </c>
      <c r="D51" s="138" t="n">
        <v>46269</v>
      </c>
      <c r="E51" s="137" t="n"/>
      <c r="F51" s="139" t="n"/>
      <c r="G51" s="140" t="n"/>
      <c r="H51" s="141" t="n"/>
    </row>
    <row r="52" ht="15" customHeight="1" s="116">
      <c r="A52" s="142" t="inlineStr">
        <is>
          <t>1.4.1</t>
        </is>
      </c>
      <c r="B52" s="143" t="inlineStr">
        <is>
          <t>Contract data model, tasks, vendors, commitments</t>
        </is>
      </c>
      <c r="C52" s="144" t="n">
        <v>46217</v>
      </c>
      <c r="D52" s="144" t="n">
        <v>46241</v>
      </c>
      <c r="E52" s="143" t="inlineStr">
        <is>
          <t>Cole</t>
        </is>
      </c>
      <c r="F52" s="145" t="n">
        <v>44</v>
      </c>
      <c r="G52" s="146">
        <f>F52*407.04</f>
        <v/>
      </c>
      <c r="H52" s="147" t="n"/>
      <c r="I52" s="135" t="inlineStr">
        <is>
          <t>Not Started</t>
        </is>
      </c>
    </row>
    <row r="53" ht="15" customHeight="1" s="116">
      <c r="A53" s="142" t="inlineStr">
        <is>
          <t>1.4.1</t>
        </is>
      </c>
      <c r="B53" s="143" t="inlineStr">
        <is>
          <t>Contract data model, tasks, vendors, commitments</t>
        </is>
      </c>
      <c r="C53" s="144" t="n">
        <v>46217</v>
      </c>
      <c r="D53" s="144" t="n">
        <v>46241</v>
      </c>
      <c r="E53" s="143" t="inlineStr">
        <is>
          <t>Nassayan</t>
        </is>
      </c>
      <c r="F53" s="145" t="n">
        <v>40</v>
      </c>
      <c r="G53" s="146">
        <f>F53*260</f>
        <v/>
      </c>
      <c r="H53" s="147" t="inlineStr">
        <is>
          <t>DB tables/views</t>
        </is>
      </c>
      <c r="I53" s="135" t="inlineStr">
        <is>
          <t>Not Started</t>
        </is>
      </c>
    </row>
    <row r="54" ht="15" customHeight="1" s="116">
      <c r="A54" s="154" t="inlineStr">
        <is>
          <t>1.3.4</t>
        </is>
      </c>
      <c r="B54" s="154" t="inlineStr">
        <is>
          <t>Projects module testing</t>
        </is>
      </c>
      <c r="C54" s="155" t="n">
        <v>46237</v>
      </c>
      <c r="D54" s="155" t="n">
        <v>46241</v>
      </c>
      <c r="E54" s="154" t="inlineStr">
        <is>
          <t>Chang</t>
        </is>
      </c>
      <c r="F54" s="156" t="n">
        <v>12</v>
      </c>
      <c r="G54" s="157">
        <f>F54*102.89</f>
        <v/>
      </c>
      <c r="H54" s="158" t="n"/>
      <c r="I54" s="135" t="inlineStr">
        <is>
          <t>Not Started</t>
        </is>
      </c>
    </row>
    <row r="55" ht="15" customHeight="1" s="116">
      <c r="A55" s="154" t="inlineStr">
        <is>
          <t>1.3.4</t>
        </is>
      </c>
      <c r="B55" s="154" t="inlineStr">
        <is>
          <t>Projects module testing</t>
        </is>
      </c>
      <c r="C55" s="155" t="n">
        <v>46237</v>
      </c>
      <c r="D55" s="155" t="n">
        <v>46241</v>
      </c>
      <c r="E55" s="154" t="inlineStr">
        <is>
          <t>Lee</t>
        </is>
      </c>
      <c r="F55" s="156" t="n">
        <v>12</v>
      </c>
      <c r="G55" s="157">
        <f>F55*114.65</f>
        <v/>
      </c>
      <c r="H55" s="158" t="n"/>
      <c r="I55" s="135" t="inlineStr">
        <is>
          <t>Not Started</t>
        </is>
      </c>
    </row>
    <row r="56" ht="15" customHeight="1" s="116">
      <c r="A56" s="142" t="inlineStr">
        <is>
          <t>1.4.1</t>
        </is>
      </c>
      <c r="B56" s="143" t="inlineStr">
        <is>
          <t>Contract data model, tasks, vendors, commitments</t>
        </is>
      </c>
      <c r="C56" s="144" t="n">
        <v>46217</v>
      </c>
      <c r="D56" s="144" t="n">
        <v>46241</v>
      </c>
      <c r="E56" s="143" t="inlineStr">
        <is>
          <t>Brown</t>
        </is>
      </c>
      <c r="F56" s="145" t="n">
        <v>40</v>
      </c>
      <c r="G56" s="146">
        <f>F56*217.8</f>
        <v/>
      </c>
      <c r="H56" s="147" t="n"/>
      <c r="I56" s="135" t="inlineStr">
        <is>
          <t>Not Started</t>
        </is>
      </c>
    </row>
    <row r="57" ht="15" customHeight="1" s="116">
      <c r="A57" s="142" t="inlineStr">
        <is>
          <t>1.4.2</t>
        </is>
      </c>
      <c r="B57" s="143" t="inlineStr">
        <is>
          <t>C1/C2 forms, amendments, changes, documents</t>
        </is>
      </c>
      <c r="C57" s="144" t="n">
        <v>46237</v>
      </c>
      <c r="D57" s="144" t="n">
        <v>46255</v>
      </c>
      <c r="E57" s="143" t="inlineStr">
        <is>
          <t>Cole</t>
        </is>
      </c>
      <c r="F57" s="145" t="n">
        <v>36</v>
      </c>
      <c r="G57" s="146">
        <f>F57*407.04</f>
        <v/>
      </c>
      <c r="H57" s="147" t="n"/>
      <c r="I57" s="135" t="inlineStr">
        <is>
          <t>Not Started</t>
        </is>
      </c>
    </row>
    <row r="58" ht="15" customHeight="1" s="116">
      <c r="A58" s="142" t="inlineStr">
        <is>
          <t>1.4.2</t>
        </is>
      </c>
      <c r="B58" s="143" t="inlineStr">
        <is>
          <t>C1/C2 forms, amendments, changes, documents</t>
        </is>
      </c>
      <c r="C58" s="144" t="n">
        <v>46237</v>
      </c>
      <c r="D58" s="144" t="n">
        <v>46255</v>
      </c>
      <c r="E58" s="143" t="inlineStr">
        <is>
          <t>Brown</t>
        </is>
      </c>
      <c r="F58" s="145" t="n">
        <v>32</v>
      </c>
      <c r="G58" s="146">
        <f>F58*217.8</f>
        <v/>
      </c>
      <c r="H58" s="147" t="n"/>
      <c r="I58" s="135" t="inlineStr">
        <is>
          <t>Not Started</t>
        </is>
      </c>
    </row>
    <row r="59" ht="15" customHeight="1" s="116">
      <c r="A59" s="142" t="inlineStr">
        <is>
          <t>1.4.3</t>
        </is>
      </c>
      <c r="B59" s="143" t="inlineStr">
        <is>
          <t>Contract workflows (WF-09/10), M contract, PO entry</t>
        </is>
      </c>
      <c r="C59" s="144" t="n">
        <v>46245</v>
      </c>
      <c r="D59" s="144" t="n">
        <v>46269</v>
      </c>
      <c r="E59" s="143" t="inlineStr">
        <is>
          <t>Cole</t>
        </is>
      </c>
      <c r="F59" s="145" t="n">
        <v>32</v>
      </c>
      <c r="G59" s="146">
        <f>F59*407.04</f>
        <v/>
      </c>
      <c r="H59" s="147" t="n"/>
      <c r="I59" s="135" t="inlineStr">
        <is>
          <t>Not Started</t>
        </is>
      </c>
    </row>
    <row r="60" ht="15" customHeight="1" s="116">
      <c r="A60" s="142" t="inlineStr">
        <is>
          <t>1.4.3</t>
        </is>
      </c>
      <c r="B60" s="143" t="inlineStr">
        <is>
          <t>Contract workflows (WF-09/10), M contract, PO entry</t>
        </is>
      </c>
      <c r="C60" s="144" t="n">
        <v>46245</v>
      </c>
      <c r="D60" s="144" t="n">
        <v>46269</v>
      </c>
      <c r="E60" s="143" t="inlineStr">
        <is>
          <t>Brown</t>
        </is>
      </c>
      <c r="F60" s="145" t="n">
        <v>32</v>
      </c>
      <c r="G60" s="146">
        <f>F60*217.8</f>
        <v/>
      </c>
      <c r="H60" s="147" t="n"/>
      <c r="I60" s="135" t="inlineStr">
        <is>
          <t>Not Started</t>
        </is>
      </c>
    </row>
    <row r="61" ht="15" customHeight="1" s="116">
      <c r="A61" s="142" t="inlineStr">
        <is>
          <t>1.4.4</t>
        </is>
      </c>
      <c r="B61" s="143" t="inlineStr">
        <is>
          <t>Time-phased budgets (WF-24), Budget Change Req (WF-23)</t>
        </is>
      </c>
      <c r="C61" s="144" t="n">
        <v>46258</v>
      </c>
      <c r="D61" s="144" t="n">
        <v>46269</v>
      </c>
      <c r="E61" s="143" t="inlineStr">
        <is>
          <t>Cole</t>
        </is>
      </c>
      <c r="F61" s="145" t="n">
        <v>20</v>
      </c>
      <c r="G61" s="146">
        <f>F61*407.04</f>
        <v/>
      </c>
      <c r="H61" s="147" t="n"/>
      <c r="I61" s="135" t="inlineStr">
        <is>
          <t>Not Started</t>
        </is>
      </c>
    </row>
    <row r="62" ht="15" customHeight="1" s="116">
      <c r="A62" s="142" t="inlineStr">
        <is>
          <t>1.4.4</t>
        </is>
      </c>
      <c r="B62" s="143" t="inlineStr">
        <is>
          <t>Time-phased budgets (WF-24), Budget Change Req (WF-23)</t>
        </is>
      </c>
      <c r="C62" s="144" t="n">
        <v>46258</v>
      </c>
      <c r="D62" s="144" t="n">
        <v>46269</v>
      </c>
      <c r="E62" s="143" t="inlineStr">
        <is>
          <t>Brown</t>
        </is>
      </c>
      <c r="F62" s="145" t="n">
        <v>24</v>
      </c>
      <c r="G62" s="146">
        <f>F62*217.8</f>
        <v/>
      </c>
      <c r="H62" s="147" t="n"/>
      <c r="I62" s="135" t="inlineStr">
        <is>
          <t>Not Started</t>
        </is>
      </c>
    </row>
    <row r="63" ht="15" customHeight="1" s="116">
      <c r="A63" s="142" t="inlineStr">
        <is>
          <t>1.4.5</t>
        </is>
      </c>
      <c r="B63" s="143" t="inlineStr">
        <is>
          <t>Contracts module documentation</t>
        </is>
      </c>
      <c r="C63" s="144" t="n">
        <v>46259</v>
      </c>
      <c r="D63" s="144" t="n">
        <v>46269</v>
      </c>
      <c r="E63" s="143" t="inlineStr">
        <is>
          <t>Nipper</t>
        </is>
      </c>
      <c r="F63" s="145" t="n">
        <v>20</v>
      </c>
      <c r="G63" s="146">
        <f>F63*341.01</f>
        <v/>
      </c>
      <c r="H63" s="147" t="n"/>
      <c r="I63" s="135" t="inlineStr">
        <is>
          <t>Not Started</t>
        </is>
      </c>
    </row>
    <row r="64" ht="15" customHeight="1" s="116">
      <c r="A64" s="142" t="inlineStr">
        <is>
          <t>1.4.6</t>
        </is>
      </c>
      <c r="B64" s="143" t="inlineStr">
        <is>
          <t>Contracts compliance review</t>
        </is>
      </c>
      <c r="C64" s="144" t="n">
        <v>46259</v>
      </c>
      <c r="D64" s="144" t="n">
        <v>46269</v>
      </c>
      <c r="E64" s="143" t="inlineStr">
        <is>
          <t>Salzwedel</t>
        </is>
      </c>
      <c r="F64" s="145" t="n">
        <v>12</v>
      </c>
      <c r="G64" s="146">
        <f>F64*216.66</f>
        <v/>
      </c>
      <c r="H64" s="147" t="n"/>
      <c r="I64" s="135" t="inlineStr">
        <is>
          <t>Not Started</t>
        </is>
      </c>
    </row>
    <row r="65" ht="15" customHeight="1" s="116">
      <c r="A65" s="154" t="inlineStr">
        <is>
          <t>1.4.7</t>
        </is>
      </c>
      <c r="B65" s="154" t="inlineStr">
        <is>
          <t>Contracts module testing</t>
        </is>
      </c>
      <c r="C65" s="155" t="n">
        <v>46265</v>
      </c>
      <c r="D65" s="155" t="n">
        <v>46269</v>
      </c>
      <c r="E65" s="154" t="inlineStr">
        <is>
          <t>Chang</t>
        </is>
      </c>
      <c r="F65" s="156" t="n">
        <v>12</v>
      </c>
      <c r="G65" s="157">
        <f>F65*102.89</f>
        <v/>
      </c>
      <c r="H65" s="158" t="n"/>
      <c r="I65" s="135" t="inlineStr">
        <is>
          <t>Not Started</t>
        </is>
      </c>
    </row>
    <row r="66" ht="15" customHeight="1" s="116">
      <c r="A66" s="154" t="inlineStr">
        <is>
          <t>1.4.7</t>
        </is>
      </c>
      <c r="B66" s="154" t="inlineStr">
        <is>
          <t>Contracts module testing</t>
        </is>
      </c>
      <c r="C66" s="155" t="n">
        <v>46265</v>
      </c>
      <c r="D66" s="155" t="n">
        <v>46269</v>
      </c>
      <c r="E66" s="154" t="inlineStr">
        <is>
          <t>Lee</t>
        </is>
      </c>
      <c r="F66" s="156" t="n">
        <v>12</v>
      </c>
      <c r="G66" s="157">
        <f>F66*114.65</f>
        <v/>
      </c>
      <c r="H66" s="158" t="n"/>
      <c r="I66" s="135" t="inlineStr">
        <is>
          <t>Not Started</t>
        </is>
      </c>
    </row>
    <row r="67" ht="15" customHeight="1" s="116">
      <c r="A67" s="148" t="inlineStr">
        <is>
          <t>M2</t>
        </is>
      </c>
      <c r="B67" s="149" t="inlineStr">
        <is>
          <t>★ Core Modules Complete (Programming, Projects, Contracts)</t>
        </is>
      </c>
      <c r="C67" s="150" t="n"/>
      <c r="D67" s="151" t="n">
        <v>46283</v>
      </c>
      <c r="E67" s="149" t="n"/>
      <c r="F67" s="150" t="n"/>
      <c r="G67" s="152" t="n"/>
      <c r="H67" s="153" t="n"/>
    </row>
    <row r="68" ht="15" customHeight="1" s="116">
      <c r="A68" s="136" t="inlineStr">
        <is>
          <t>1.5</t>
        </is>
      </c>
      <c r="B68" s="137" t="inlineStr">
        <is>
          <t>Invoice Module (with AI Intake &amp; Compliance)</t>
        </is>
      </c>
      <c r="C68" s="138" t="n">
        <v>46252</v>
      </c>
      <c r="D68" s="138" t="n">
        <v>46311</v>
      </c>
      <c r="E68" s="137" t="n"/>
      <c r="F68" s="139" t="n"/>
      <c r="G68" s="140" t="n"/>
      <c r="H68" s="141" t="n"/>
    </row>
    <row r="69" ht="15" customHeight="1" s="116">
      <c r="A69" s="159" t="inlineStr">
        <is>
          <t>1.5.1</t>
        </is>
      </c>
      <c r="B69" s="160" t="inlineStr">
        <is>
          <t>AI Invoice Intake — Document ingestion pipeline</t>
        </is>
      </c>
      <c r="C69" s="161" t="n">
        <v>46252</v>
      </c>
      <c r="D69" s="161" t="n">
        <v>46270</v>
      </c>
      <c r="E69" s="160" t="inlineStr">
        <is>
          <t>Mortazavi</t>
        </is>
      </c>
      <c r="F69" s="162" t="n">
        <v>56</v>
      </c>
      <c r="G69" s="163">
        <f>F69*278.3</f>
        <v/>
      </c>
      <c r="H69" s="164" t="inlineStr">
        <is>
          <t>Claude API PDF/image extraction</t>
        </is>
      </c>
      <c r="I69" s="135" t="inlineStr">
        <is>
          <t>Not Started</t>
        </is>
      </c>
    </row>
    <row r="70" ht="15" customHeight="1" s="116">
      <c r="A70" s="159" t="inlineStr">
        <is>
          <t>1.5.1</t>
        </is>
      </c>
      <c r="B70" s="160" t="inlineStr">
        <is>
          <t>AI Invoice Intake — Document ingestion pipeline</t>
        </is>
      </c>
      <c r="C70" s="161" t="n">
        <v>46252</v>
      </c>
      <c r="D70" s="161" t="n">
        <v>46270</v>
      </c>
      <c r="E70" s="160" t="inlineStr">
        <is>
          <t>Cole</t>
        </is>
      </c>
      <c r="F70" s="162" t="n">
        <v>20</v>
      </c>
      <c r="G70" s="163">
        <f>F70*407.04</f>
        <v/>
      </c>
      <c r="H70" s="164" t="n"/>
      <c r="I70" s="135" t="inlineStr">
        <is>
          <t>Not Started</t>
        </is>
      </c>
    </row>
    <row r="71" ht="15" customHeight="1" s="116">
      <c r="A71" s="159" t="inlineStr">
        <is>
          <t>1.5.1</t>
        </is>
      </c>
      <c r="B71" s="160" t="inlineStr">
        <is>
          <t>AI Invoice Intake — Document ingestion pipeline</t>
        </is>
      </c>
      <c r="C71" s="161" t="n">
        <v>46252</v>
      </c>
      <c r="D71" s="161" t="n">
        <v>46270</v>
      </c>
      <c r="E71" s="160" t="inlineStr">
        <is>
          <t>Brown</t>
        </is>
      </c>
      <c r="F71" s="162" t="n">
        <v>28</v>
      </c>
      <c r="G71" s="163">
        <f>F71*217.8</f>
        <v/>
      </c>
      <c r="H71" s="164" t="n"/>
      <c r="I71" s="135" t="inlineStr">
        <is>
          <t>Not Started</t>
        </is>
      </c>
    </row>
    <row r="72" ht="15" customHeight="1" s="116">
      <c r="A72" s="159" t="inlineStr">
        <is>
          <t>1.5.2</t>
        </is>
      </c>
      <c r="B72" s="160" t="inlineStr">
        <is>
          <t>AI Invoice Intake — Field extraction &amp; pre-population</t>
        </is>
      </c>
      <c r="C72" s="161" t="n">
        <v>46266</v>
      </c>
      <c r="D72" s="161" t="n">
        <v>46284</v>
      </c>
      <c r="E72" s="160" t="inlineStr">
        <is>
          <t>Mortazavi</t>
        </is>
      </c>
      <c r="F72" s="162" t="n">
        <v>48</v>
      </c>
      <c r="G72" s="163">
        <f>F72*278.3</f>
        <v/>
      </c>
      <c r="H72" s="164" t="inlineStr">
        <is>
          <t>Prompt eng, field mapping</t>
        </is>
      </c>
      <c r="I72" s="135" t="inlineStr">
        <is>
          <t>Not Started</t>
        </is>
      </c>
    </row>
    <row r="73" ht="15" customHeight="1" s="116">
      <c r="A73" s="159" t="inlineStr">
        <is>
          <t>1.5.2</t>
        </is>
      </c>
      <c r="B73" s="160" t="inlineStr">
        <is>
          <t>AI Invoice Intake — Field extraction &amp; pre-population</t>
        </is>
      </c>
      <c r="C73" s="161" t="n">
        <v>46266</v>
      </c>
      <c r="D73" s="161" t="n">
        <v>46284</v>
      </c>
      <c r="E73" s="160" t="inlineStr">
        <is>
          <t>Brown</t>
        </is>
      </c>
      <c r="F73" s="162" t="n">
        <v>32</v>
      </c>
      <c r="G73" s="163">
        <f>F73*217.8</f>
        <v/>
      </c>
      <c r="H73" s="164" t="inlineStr">
        <is>
          <t>Prepopulated form UI</t>
        </is>
      </c>
      <c r="I73" s="135" t="inlineStr">
        <is>
          <t>Not Started</t>
        </is>
      </c>
    </row>
    <row r="74" ht="15" customHeight="1" s="116">
      <c r="A74" s="159" t="inlineStr">
        <is>
          <t>1.5.2</t>
        </is>
      </c>
      <c r="B74" s="160" t="inlineStr">
        <is>
          <t>AI Invoice Intake — Field extraction &amp; pre-population</t>
        </is>
      </c>
      <c r="C74" s="161" t="n">
        <v>46266</v>
      </c>
      <c r="D74" s="161" t="n">
        <v>46284</v>
      </c>
      <c r="E74" s="160" t="inlineStr">
        <is>
          <t>Cole</t>
        </is>
      </c>
      <c r="F74" s="162" t="n">
        <v>16</v>
      </c>
      <c r="G74" s="163">
        <f>F74*407.04</f>
        <v/>
      </c>
      <c r="H74" s="164" t="n"/>
      <c r="I74" s="135" t="inlineStr">
        <is>
          <t>Not Started</t>
        </is>
      </c>
    </row>
    <row r="75" ht="15" customHeight="1" s="116">
      <c r="A75" s="159" t="inlineStr">
        <is>
          <t>1.5.3</t>
        </is>
      </c>
      <c r="B75" s="160" t="inlineStr">
        <is>
          <t>AI Invoice Intake — Compliance analysis engine</t>
        </is>
      </c>
      <c r="C75" s="161" t="n">
        <v>46273</v>
      </c>
      <c r="D75" s="161" t="n">
        <v>46291</v>
      </c>
      <c r="E75" s="160" t="inlineStr">
        <is>
          <t>Mortazavi</t>
        </is>
      </c>
      <c r="F75" s="162" t="n">
        <v>48</v>
      </c>
      <c r="G75" s="163">
        <f>F75*278.3</f>
        <v/>
      </c>
      <c r="H75" s="164" t="inlineStr">
        <is>
          <t>Rate/budget/cost code/date checks</t>
        </is>
      </c>
      <c r="I75" s="135" t="inlineStr">
        <is>
          <t>Not Started</t>
        </is>
      </c>
    </row>
    <row r="76" ht="15" customHeight="1" s="116">
      <c r="A76" s="159" t="inlineStr">
        <is>
          <t>1.5.3</t>
        </is>
      </c>
      <c r="B76" s="160" t="inlineStr">
        <is>
          <t>AI Invoice Intake — Compliance analysis engine</t>
        </is>
      </c>
      <c r="C76" s="161" t="n">
        <v>46273</v>
      </c>
      <c r="D76" s="161" t="n">
        <v>46291</v>
      </c>
      <c r="E76" s="160" t="inlineStr">
        <is>
          <t>Cole</t>
        </is>
      </c>
      <c r="F76" s="162" t="n">
        <v>16</v>
      </c>
      <c r="G76" s="163">
        <f>F76*407.04</f>
        <v/>
      </c>
      <c r="H76" s="164" t="n"/>
      <c r="I76" s="135" t="inlineStr">
        <is>
          <t>Not Started</t>
        </is>
      </c>
    </row>
    <row r="77" ht="15" customHeight="1" s="116">
      <c r="A77" s="159" t="inlineStr">
        <is>
          <t>1.5.3</t>
        </is>
      </c>
      <c r="B77" s="160" t="inlineStr">
        <is>
          <t>AI Invoice Intake — Compliance analysis engine</t>
        </is>
      </c>
      <c r="C77" s="161" t="n">
        <v>46273</v>
      </c>
      <c r="D77" s="161" t="n">
        <v>46291</v>
      </c>
      <c r="E77" s="160" t="inlineStr">
        <is>
          <t>Brown</t>
        </is>
      </c>
      <c r="F77" s="162" t="n">
        <v>24</v>
      </c>
      <c r="G77" s="163">
        <f>F77*217.8</f>
        <v/>
      </c>
      <c r="H77" s="164" t="inlineStr">
        <is>
          <t>Compliance panel UI</t>
        </is>
      </c>
      <c r="I77" s="135" t="inlineStr">
        <is>
          <t>Not Started</t>
        </is>
      </c>
    </row>
    <row r="78" ht="15" customHeight="1" s="116">
      <c r="A78" s="159" t="inlineStr">
        <is>
          <t>1.5.3</t>
        </is>
      </c>
      <c r="B78" s="160" t="inlineStr">
        <is>
          <t>AI Invoice Intake — Compliance analysis engine</t>
        </is>
      </c>
      <c r="C78" s="161" t="n">
        <v>46273</v>
      </c>
      <c r="D78" s="161" t="n">
        <v>46291</v>
      </c>
      <c r="E78" s="160" t="inlineStr">
        <is>
          <t>Nassayan</t>
        </is>
      </c>
      <c r="F78" s="162" t="n">
        <v>20</v>
      </c>
      <c r="G78" s="163">
        <f>F78*260</f>
        <v/>
      </c>
      <c r="H78" s="164" t="inlineStr">
        <is>
          <t>Contract rate/budget queries</t>
        </is>
      </c>
      <c r="I78" s="135" t="inlineStr">
        <is>
          <t>Not Started</t>
        </is>
      </c>
    </row>
    <row r="79" ht="15" customHeight="1" s="116">
      <c r="A79" s="159" t="inlineStr">
        <is>
          <t>1.5.4</t>
        </is>
      </c>
      <c r="B79" s="160" t="inlineStr">
        <is>
          <t>AI Invoice Intake — Review dashboard &amp; override UI</t>
        </is>
      </c>
      <c r="C79" s="161" t="n">
        <v>46280</v>
      </c>
      <c r="D79" s="161" t="n">
        <v>46298</v>
      </c>
      <c r="E79" s="160" t="inlineStr">
        <is>
          <t>Brown</t>
        </is>
      </c>
      <c r="F79" s="162" t="n">
        <v>28</v>
      </c>
      <c r="G79" s="163">
        <f>F79*217.8</f>
        <v/>
      </c>
      <c r="H79" s="164" t="inlineStr">
        <is>
          <t>Accept/correct/override flow</t>
        </is>
      </c>
      <c r="I79" s="135" t="inlineStr">
        <is>
          <t>Not Started</t>
        </is>
      </c>
    </row>
    <row r="80" ht="15" customHeight="1" s="116">
      <c r="A80" s="159" t="inlineStr">
        <is>
          <t>1.5.4</t>
        </is>
      </c>
      <c r="B80" s="160" t="inlineStr">
        <is>
          <t>AI Invoice Intake — Review dashboard &amp; override UI</t>
        </is>
      </c>
      <c r="C80" s="161" t="n">
        <v>46280</v>
      </c>
      <c r="D80" s="161" t="n">
        <v>46298</v>
      </c>
      <c r="E80" s="160" t="inlineStr">
        <is>
          <t>Cole</t>
        </is>
      </c>
      <c r="F80" s="162" t="n">
        <v>12</v>
      </c>
      <c r="G80" s="163">
        <f>F80*407.04</f>
        <v/>
      </c>
      <c r="H80" s="164" t="n"/>
      <c r="I80" s="135" t="inlineStr">
        <is>
          <t>Not Started</t>
        </is>
      </c>
    </row>
    <row r="81" ht="15" customHeight="1" s="116">
      <c r="A81" s="159" t="inlineStr">
        <is>
          <t>1.5.4</t>
        </is>
      </c>
      <c r="B81" s="160" t="inlineStr">
        <is>
          <t>AI Invoice Intake — Review dashboard &amp; override UI</t>
        </is>
      </c>
      <c r="C81" s="161" t="n">
        <v>46280</v>
      </c>
      <c r="D81" s="161" t="n">
        <v>46298</v>
      </c>
      <c r="E81" s="160" t="inlineStr">
        <is>
          <t>Mortazavi</t>
        </is>
      </c>
      <c r="F81" s="162" t="n">
        <v>20</v>
      </c>
      <c r="G81" s="163">
        <f>F81*278.3</f>
        <v/>
      </c>
      <c r="H81" s="164" t="n"/>
      <c r="I81" s="135" t="inlineStr">
        <is>
          <t>Not Started</t>
        </is>
      </c>
    </row>
    <row r="82" ht="15" customHeight="1" s="116">
      <c r="A82" s="142" t="inlineStr">
        <is>
          <t>1.5.5</t>
        </is>
      </c>
      <c r="B82" s="143" t="inlineStr">
        <is>
          <t>Invoice data model, PSA/PFA entry paths</t>
        </is>
      </c>
      <c r="C82" s="144" t="n">
        <v>46273</v>
      </c>
      <c r="D82" s="144" t="n">
        <v>46291</v>
      </c>
      <c r="E82" s="143" t="inlineStr">
        <is>
          <t>Cole</t>
        </is>
      </c>
      <c r="F82" s="145" t="n">
        <v>36</v>
      </c>
      <c r="G82" s="146">
        <f>F82*407.04</f>
        <v/>
      </c>
      <c r="H82" s="147" t="n"/>
      <c r="I82" s="135" t="inlineStr">
        <is>
          <t>Not Started</t>
        </is>
      </c>
    </row>
    <row r="83" ht="15" customHeight="1" s="116">
      <c r="A83" s="142" t="inlineStr">
        <is>
          <t>1.5.5</t>
        </is>
      </c>
      <c r="B83" s="143" t="inlineStr">
        <is>
          <t>Invoice data model, PSA/PFA entry paths</t>
        </is>
      </c>
      <c r="C83" s="144" t="n">
        <v>46273</v>
      </c>
      <c r="D83" s="144" t="n">
        <v>46291</v>
      </c>
      <c r="E83" s="143" t="inlineStr">
        <is>
          <t>Nassayan</t>
        </is>
      </c>
      <c r="F83" s="145" t="n">
        <v>48</v>
      </c>
      <c r="G83" s="146">
        <f>F83*260</f>
        <v/>
      </c>
      <c r="H83" s="147" t="inlineStr">
        <is>
          <t>DB tables/views</t>
        </is>
      </c>
      <c r="I83" s="135" t="inlineStr">
        <is>
          <t>Not Started</t>
        </is>
      </c>
    </row>
    <row r="84" ht="15" customHeight="1" s="116">
      <c r="A84" s="142" t="inlineStr">
        <is>
          <t>1.5.5</t>
        </is>
      </c>
      <c r="B84" s="143" t="inlineStr">
        <is>
          <t>Invoice data model, PSA/PFA entry paths</t>
        </is>
      </c>
      <c r="C84" s="144" t="n">
        <v>46273</v>
      </c>
      <c r="D84" s="144" t="n">
        <v>46291</v>
      </c>
      <c r="E84" s="143" t="inlineStr">
        <is>
          <t>Brown</t>
        </is>
      </c>
      <c r="F84" s="145" t="n">
        <v>32</v>
      </c>
      <c r="G84" s="146">
        <f>F84*217.8</f>
        <v/>
      </c>
      <c r="H84" s="147" t="n"/>
      <c r="I84" s="135" t="inlineStr">
        <is>
          <t>Not Started</t>
        </is>
      </c>
    </row>
    <row r="85" ht="15" customHeight="1" s="116">
      <c r="A85" s="142" t="inlineStr">
        <is>
          <t>1.5.6</t>
        </is>
      </c>
      <c r="B85" s="143" t="inlineStr">
        <is>
          <t>Approval routing (WF-03), Short Pay (WF-06), Retention (WF-07)</t>
        </is>
      </c>
      <c r="C85" s="144" t="n">
        <v>46280</v>
      </c>
      <c r="D85" s="144" t="n">
        <v>46298</v>
      </c>
      <c r="E85" s="143" t="inlineStr">
        <is>
          <t>Cole</t>
        </is>
      </c>
      <c r="F85" s="145" t="n">
        <v>32</v>
      </c>
      <c r="G85" s="146">
        <f>F85*407.04</f>
        <v/>
      </c>
      <c r="H85" s="147" t="n"/>
      <c r="I85" s="135" t="inlineStr">
        <is>
          <t>Not Started</t>
        </is>
      </c>
    </row>
    <row r="86" ht="15" customHeight="1" s="116">
      <c r="A86" s="142" t="inlineStr">
        <is>
          <t>1.5.6</t>
        </is>
      </c>
      <c r="B86" s="143" t="inlineStr">
        <is>
          <t>Approval routing (WF-03), Short Pay (WF-06), Retention (WF-07)</t>
        </is>
      </c>
      <c r="C86" s="144" t="n">
        <v>46280</v>
      </c>
      <c r="D86" s="144" t="n">
        <v>46298</v>
      </c>
      <c r="E86" s="143" t="inlineStr">
        <is>
          <t>Brown</t>
        </is>
      </c>
      <c r="F86" s="145" t="n">
        <v>28</v>
      </c>
      <c r="G86" s="146">
        <f>F86*217.8</f>
        <v/>
      </c>
      <c r="H86" s="147" t="n"/>
      <c r="I86" s="135" t="inlineStr">
        <is>
          <t>Not Started</t>
        </is>
      </c>
    </row>
    <row r="87" ht="15" customHeight="1" s="116">
      <c r="A87" s="142" t="inlineStr">
        <is>
          <t>1.5.7</t>
        </is>
      </c>
      <c r="B87" s="143" t="inlineStr">
        <is>
          <t>IPV/CSR generation, check run (WF-08), Invoice Status Log</t>
        </is>
      </c>
      <c r="C87" s="144" t="n">
        <v>46287</v>
      </c>
      <c r="D87" s="144" t="n">
        <v>46311</v>
      </c>
      <c r="E87" s="143" t="inlineStr">
        <is>
          <t>Cole</t>
        </is>
      </c>
      <c r="F87" s="145" t="n">
        <v>28</v>
      </c>
      <c r="G87" s="146">
        <f>F87*407.04</f>
        <v/>
      </c>
      <c r="H87" s="147" t="inlineStr">
        <is>
          <t>Replaces Excel ISL</t>
        </is>
      </c>
      <c r="I87" s="135" t="inlineStr">
        <is>
          <t>Not Started</t>
        </is>
      </c>
    </row>
    <row r="88" ht="15" customHeight="1" s="116">
      <c r="A88" s="142" t="inlineStr">
        <is>
          <t>1.5.7</t>
        </is>
      </c>
      <c r="B88" s="143" t="inlineStr">
        <is>
          <t>IPV/CSR generation, check run (WF-08), Invoice Status Log</t>
        </is>
      </c>
      <c r="C88" s="144" t="n">
        <v>46287</v>
      </c>
      <c r="D88" s="144" t="n">
        <v>46311</v>
      </c>
      <c r="E88" s="143" t="inlineStr">
        <is>
          <t>Brown</t>
        </is>
      </c>
      <c r="F88" s="145" t="n">
        <v>28</v>
      </c>
      <c r="G88" s="146">
        <f>F88*217.8</f>
        <v/>
      </c>
      <c r="H88" s="147" t="n"/>
      <c r="I88" s="135" t="inlineStr">
        <is>
          <t>Not Started</t>
        </is>
      </c>
    </row>
    <row r="89" ht="15" customHeight="1" s="116">
      <c r="A89" s="142" t="inlineStr">
        <is>
          <t>1.5.7</t>
        </is>
      </c>
      <c r="B89" s="143" t="inlineStr">
        <is>
          <t>IPV/CSR generation, check run (WF-08), Invoice Status Log</t>
        </is>
      </c>
      <c r="C89" s="144" t="n">
        <v>46287</v>
      </c>
      <c r="D89" s="144" t="n">
        <v>46311</v>
      </c>
      <c r="E89" s="143" t="inlineStr">
        <is>
          <t>Nassayan</t>
        </is>
      </c>
      <c r="F89" s="145" t="n">
        <v>20</v>
      </c>
      <c r="G89" s="146">
        <f>F89*260</f>
        <v/>
      </c>
      <c r="H89" s="147" t="inlineStr">
        <is>
          <t>BQ reporting views</t>
        </is>
      </c>
      <c r="I89" s="135" t="inlineStr">
        <is>
          <t>Not Started</t>
        </is>
      </c>
    </row>
    <row r="90" ht="15" customHeight="1" s="116">
      <c r="A90" s="142" t="inlineStr">
        <is>
          <t>1.5.8</t>
        </is>
      </c>
      <c r="B90" s="143" t="inlineStr">
        <is>
          <t>Invoice module documentation (incl AI Intake guide)</t>
        </is>
      </c>
      <c r="C90" s="144" t="n">
        <v>46300</v>
      </c>
      <c r="D90" s="144" t="n">
        <v>46311</v>
      </c>
      <c r="E90" s="143" t="inlineStr">
        <is>
          <t>Nipper</t>
        </is>
      </c>
      <c r="F90" s="145" t="n">
        <v>28</v>
      </c>
      <c r="G90" s="146">
        <f>F90*341.01</f>
        <v/>
      </c>
      <c r="H90" s="147" t="n"/>
      <c r="I90" s="135" t="inlineStr">
        <is>
          <t>Not Started</t>
        </is>
      </c>
    </row>
    <row r="91" ht="15" customHeight="1" s="116">
      <c r="A91" s="142" t="inlineStr">
        <is>
          <t>1.5.9</t>
        </is>
      </c>
      <c r="B91" s="143" t="inlineStr">
        <is>
          <t>Invoice compliance review</t>
        </is>
      </c>
      <c r="C91" s="144" t="n">
        <v>46300</v>
      </c>
      <c r="D91" s="144" t="n">
        <v>46311</v>
      </c>
      <c r="E91" s="143" t="inlineStr">
        <is>
          <t>Salzwedel</t>
        </is>
      </c>
      <c r="F91" s="145" t="n">
        <v>12</v>
      </c>
      <c r="G91" s="146">
        <f>F91*216.66</f>
        <v/>
      </c>
      <c r="H91" s="147" t="n"/>
      <c r="I91" s="135" t="inlineStr">
        <is>
          <t>Not Started</t>
        </is>
      </c>
    </row>
    <row r="92" ht="15" customHeight="1" s="116">
      <c r="A92" s="142" t="inlineStr">
        <is>
          <t>1.5.10</t>
        </is>
      </c>
      <c r="B92" s="143" t="inlineStr">
        <is>
          <t>Invoice module testing (incl AI Intake accuracy)</t>
        </is>
      </c>
      <c r="C92" s="144" t="n">
        <v>46300</v>
      </c>
      <c r="D92" s="144" t="n">
        <v>46311</v>
      </c>
      <c r="E92" s="143" t="inlineStr">
        <is>
          <t>Chang</t>
        </is>
      </c>
      <c r="F92" s="145" t="n">
        <v>32</v>
      </c>
      <c r="G92" s="146">
        <f>F92*102.89</f>
        <v/>
      </c>
      <c r="H92" s="147" t="n"/>
      <c r="I92" s="135" t="inlineStr">
        <is>
          <t>Not Started</t>
        </is>
      </c>
    </row>
    <row r="93" ht="15" customHeight="1" s="116">
      <c r="A93" s="142" t="inlineStr">
        <is>
          <t>1.5.10</t>
        </is>
      </c>
      <c r="B93" s="143" t="inlineStr">
        <is>
          <t>Invoice module testing (incl AI Intake accuracy)</t>
        </is>
      </c>
      <c r="C93" s="144" t="n">
        <v>46300</v>
      </c>
      <c r="D93" s="144" t="n">
        <v>46311</v>
      </c>
      <c r="E93" s="143" t="inlineStr">
        <is>
          <t>Lee</t>
        </is>
      </c>
      <c r="F93" s="145" t="n">
        <v>32</v>
      </c>
      <c r="G93" s="146">
        <f>F93*114.65</f>
        <v/>
      </c>
      <c r="H93" s="147" t="n"/>
      <c r="I93" s="135" t="inlineStr">
        <is>
          <t>Not Started</t>
        </is>
      </c>
    </row>
    <row r="94" ht="15" customHeight="1" s="116">
      <c r="A94" s="136" t="inlineStr">
        <is>
          <t>1.6</t>
        </is>
      </c>
      <c r="B94" s="137" t="inlineStr">
        <is>
          <t>Funding Module</t>
        </is>
      </c>
      <c r="C94" s="138" t="n">
        <v>46286</v>
      </c>
      <c r="D94" s="138" t="n">
        <v>46311</v>
      </c>
      <c r="E94" s="137" t="n"/>
      <c r="F94" s="139" t="n"/>
      <c r="G94" s="140" t="n"/>
      <c r="H94" s="141" t="n"/>
    </row>
    <row r="95" ht="15" customHeight="1" s="116">
      <c r="A95" s="142" t="inlineStr">
        <is>
          <t>1.6.1</t>
        </is>
      </c>
      <c r="B95" s="143" t="inlineStr">
        <is>
          <t>Funding data model (grants, allotments, DIAs, PFA grants)</t>
        </is>
      </c>
      <c r="C95" s="144" t="n">
        <v>46286</v>
      </c>
      <c r="D95" s="144" t="n">
        <v>46304</v>
      </c>
      <c r="E95" s="143" t="inlineStr">
        <is>
          <t>Cole</t>
        </is>
      </c>
      <c r="F95" s="145" t="n">
        <v>28</v>
      </c>
      <c r="G95" s="146">
        <f>F95*407.04</f>
        <v/>
      </c>
      <c r="H95" s="147" t="n"/>
      <c r="I95" s="135" t="inlineStr">
        <is>
          <t>Not Started</t>
        </is>
      </c>
    </row>
    <row r="96" ht="15" customHeight="1" s="116">
      <c r="A96" s="142" t="inlineStr">
        <is>
          <t>1.6.1</t>
        </is>
      </c>
      <c r="B96" s="143" t="inlineStr">
        <is>
          <t>Funding data model (grants, allotments, DIAs, PFA grants)</t>
        </is>
      </c>
      <c r="C96" s="144" t="n">
        <v>46286</v>
      </c>
      <c r="D96" s="144" t="n">
        <v>46304</v>
      </c>
      <c r="E96" s="143" t="inlineStr">
        <is>
          <t>Nassayan</t>
        </is>
      </c>
      <c r="F96" s="145" t="n">
        <v>40</v>
      </c>
      <c r="G96" s="146">
        <f>F96*260</f>
        <v/>
      </c>
      <c r="H96" s="147" t="inlineStr">
        <is>
          <t>DB tables/views</t>
        </is>
      </c>
      <c r="I96" s="135" t="inlineStr">
        <is>
          <t>Not Started</t>
        </is>
      </c>
    </row>
    <row r="97" ht="15" customHeight="1" s="116">
      <c r="A97" s="142" t="inlineStr">
        <is>
          <t>1.6.1</t>
        </is>
      </c>
      <c r="B97" s="143" t="inlineStr">
        <is>
          <t>Funding data model (grants, allotments, DIAs, PFA grants)</t>
        </is>
      </c>
      <c r="C97" s="144" t="n">
        <v>46286</v>
      </c>
      <c r="D97" s="144" t="n">
        <v>46304</v>
      </c>
      <c r="E97" s="143" t="inlineStr">
        <is>
          <t>Brown</t>
        </is>
      </c>
      <c r="F97" s="145" t="n">
        <v>24</v>
      </c>
      <c r="G97" s="146">
        <f>F97*217.8</f>
        <v/>
      </c>
      <c r="H97" s="147" t="n"/>
      <c r="I97" s="135" t="inlineStr">
        <is>
          <t>Not Started</t>
        </is>
      </c>
    </row>
    <row r="98" ht="15" customHeight="1" s="116">
      <c r="A98" s="142" t="inlineStr">
        <is>
          <t>1.6.2</t>
        </is>
      </c>
      <c r="B98" s="143" t="inlineStr">
        <is>
          <t>Funding UI, closeout workflows, print/export</t>
        </is>
      </c>
      <c r="C98" s="144" t="n">
        <v>46296</v>
      </c>
      <c r="D98" s="144" t="n">
        <v>46311</v>
      </c>
      <c r="E98" s="143" t="inlineStr">
        <is>
          <t>Cole</t>
        </is>
      </c>
      <c r="F98" s="145" t="n">
        <v>12</v>
      </c>
      <c r="G98" s="146">
        <f>F98*407.04</f>
        <v/>
      </c>
      <c r="H98" s="147" t="n"/>
      <c r="I98" s="135" t="inlineStr">
        <is>
          <t>Not Started</t>
        </is>
      </c>
    </row>
    <row r="99" ht="15" customHeight="1" s="116">
      <c r="A99" s="142" t="inlineStr">
        <is>
          <t>1.6.2</t>
        </is>
      </c>
      <c r="B99" s="143" t="inlineStr">
        <is>
          <t>Funding UI, closeout workflows, print/export</t>
        </is>
      </c>
      <c r="C99" s="144" t="n">
        <v>46296</v>
      </c>
      <c r="D99" s="144" t="n">
        <v>46311</v>
      </c>
      <c r="E99" s="143" t="inlineStr">
        <is>
          <t>Brown</t>
        </is>
      </c>
      <c r="F99" s="145" t="n">
        <v>16</v>
      </c>
      <c r="G99" s="146">
        <f>F99*217.8</f>
        <v/>
      </c>
      <c r="H99" s="147" t="n"/>
      <c r="I99" s="135" t="inlineStr">
        <is>
          <t>Not Started</t>
        </is>
      </c>
    </row>
    <row r="100" ht="15" customHeight="1" s="116">
      <c r="A100" s="154" t="inlineStr">
        <is>
          <t>1.6.4</t>
        </is>
      </c>
      <c r="B100" s="154" t="inlineStr">
        <is>
          <t>Funding module testing</t>
        </is>
      </c>
      <c r="C100" s="155" t="n">
        <v>46307</v>
      </c>
      <c r="D100" s="155" t="n">
        <v>46311</v>
      </c>
      <c r="E100" s="154" t="inlineStr">
        <is>
          <t>Chang</t>
        </is>
      </c>
      <c r="F100" s="156" t="n">
        <v>12</v>
      </c>
      <c r="G100" s="157">
        <f>F100*102.89</f>
        <v/>
      </c>
      <c r="H100" s="158" t="n"/>
      <c r="I100" s="135" t="inlineStr">
        <is>
          <t>Not Started</t>
        </is>
      </c>
    </row>
    <row r="101" ht="15" customHeight="1" s="116">
      <c r="A101" s="154" t="inlineStr">
        <is>
          <t>1.6.4</t>
        </is>
      </c>
      <c r="B101" s="154" t="inlineStr">
        <is>
          <t>Funding module testing</t>
        </is>
      </c>
      <c r="C101" s="155" t="n">
        <v>46307</v>
      </c>
      <c r="D101" s="155" t="n">
        <v>46311</v>
      </c>
      <c r="E101" s="154" t="inlineStr">
        <is>
          <t>Lee</t>
        </is>
      </c>
      <c r="F101" s="156" t="n">
        <v>12</v>
      </c>
      <c r="G101" s="157">
        <f>F101*114.65</f>
        <v/>
      </c>
      <c r="H101" s="158" t="n"/>
      <c r="I101" s="135" t="inlineStr">
        <is>
          <t>Not Started</t>
        </is>
      </c>
    </row>
    <row r="102" ht="15" customHeight="1" s="116">
      <c r="A102" s="142" t="inlineStr">
        <is>
          <t>1.6.3</t>
        </is>
      </c>
      <c r="B102" s="143" t="inlineStr">
        <is>
          <t>Funding module documentation</t>
        </is>
      </c>
      <c r="C102" s="144" t="n">
        <v>46303</v>
      </c>
      <c r="D102" s="144" t="n">
        <v>46311</v>
      </c>
      <c r="E102" s="143" t="inlineStr">
        <is>
          <t>Nipper</t>
        </is>
      </c>
      <c r="F102" s="145" t="n">
        <v>12</v>
      </c>
      <c r="G102" s="146">
        <f>F102*341.01</f>
        <v/>
      </c>
      <c r="H102" s="147" t="n"/>
      <c r="I102" s="135" t="inlineStr">
        <is>
          <t>Not Started</t>
        </is>
      </c>
    </row>
    <row r="103" ht="15" customHeight="1" s="116">
      <c r="A103" s="148" t="inlineStr">
        <is>
          <t>M3</t>
        </is>
      </c>
      <c r="B103" s="149" t="inlineStr">
        <is>
          <t>★ All Core Modules Complete (Invoice + Funding workflows)</t>
        </is>
      </c>
      <c r="C103" s="150" t="n"/>
      <c r="D103" s="151" t="n">
        <v>46325</v>
      </c>
      <c r="E103" s="149" t="n"/>
      <c r="F103" s="150" t="n"/>
      <c r="G103" s="152" t="n"/>
      <c r="H103" s="153" t="n"/>
    </row>
    <row r="104" ht="15" customHeight="1" s="116">
      <c r="A104" s="127" t="inlineStr">
        <is>
          <t>1.11</t>
        </is>
      </c>
      <c r="B104" s="128" t="inlineStr">
        <is>
          <t>PCS Data Review &amp; Cleanup (parallel to module builds, gates Migration)</t>
        </is>
      </c>
      <c r="C104" s="129" t="n">
        <v>46188</v>
      </c>
      <c r="D104" s="129" t="n">
        <v>46311</v>
      </c>
      <c r="E104" s="128" t="n"/>
      <c r="F104" s="128" t="n"/>
      <c r="G104" s="128" t="n"/>
      <c r="H104" s="128" t="n"/>
    </row>
    <row r="105" ht="15" customHeight="1" s="116">
      <c r="A105" s="130" t="inlineStr">
        <is>
          <t>1.11.1</t>
        </is>
      </c>
      <c r="B105" s="131" t="inlineStr">
        <is>
          <t>Cleanup plan — scope, priorities, data quality rules, table owners</t>
        </is>
      </c>
      <c r="C105" s="132" t="n">
        <v>46188</v>
      </c>
      <c r="D105" s="132" t="n">
        <v>46206</v>
      </c>
      <c r="E105" s="130" t="inlineStr">
        <is>
          <t>Cole</t>
        </is>
      </c>
      <c r="F105" s="133" t="n">
        <v>16</v>
      </c>
      <c r="G105" s="134">
        <f>F105*407.04</f>
        <v/>
      </c>
      <c r="H105" s="131" t="inlineStr">
        <is>
          <t>Uses 1.0.3 findings</t>
        </is>
      </c>
      <c r="I105" s="135" t="inlineStr">
        <is>
          <t>Not Started</t>
        </is>
      </c>
    </row>
    <row r="106" ht="15" customHeight="1" s="116">
      <c r="A106" s="130" t="inlineStr">
        <is>
          <t>1.11.1</t>
        </is>
      </c>
      <c r="B106" s="131" t="inlineStr">
        <is>
          <t>Cleanup plan — scope, priorities, data quality rules, table owners</t>
        </is>
      </c>
      <c r="C106" s="132" t="n">
        <v>46188</v>
      </c>
      <c r="D106" s="132" t="n">
        <v>46206</v>
      </c>
      <c r="E106" s="130" t="inlineStr">
        <is>
          <t>Nipper</t>
        </is>
      </c>
      <c r="F106" s="133" t="n">
        <v>20</v>
      </c>
      <c r="G106" s="134">
        <f>F106*341.01</f>
        <v/>
      </c>
      <c r="H106" s="131" t="inlineStr">
        <is>
          <t>Documentation lead</t>
        </is>
      </c>
      <c r="I106" s="135" t="inlineStr">
        <is>
          <t>Not Started</t>
        </is>
      </c>
    </row>
    <row r="107" ht="15" customHeight="1" s="116">
      <c r="A107" s="130" t="inlineStr">
        <is>
          <t>1.11.2</t>
        </is>
      </c>
      <c r="B107" s="131" t="inlineStr">
        <is>
          <t>Programming &amp; Projects data review — fund sources, allocations, project master</t>
        </is>
      </c>
      <c r="C107" s="132" t="n">
        <v>46209</v>
      </c>
      <c r="D107" s="132" t="n">
        <v>46248</v>
      </c>
      <c r="E107" s="130" t="inlineStr">
        <is>
          <t>Nipper</t>
        </is>
      </c>
      <c r="F107" s="133" t="n">
        <v>32</v>
      </c>
      <c r="G107" s="134">
        <f>F107*341.01</f>
        <v/>
      </c>
      <c r="H107" s="131" t="n"/>
      <c r="I107" s="135" t="inlineStr">
        <is>
          <t>Not Started</t>
        </is>
      </c>
    </row>
    <row r="108" ht="15" customHeight="1" s="116">
      <c r="A108" s="130" t="inlineStr">
        <is>
          <t>1.11.2</t>
        </is>
      </c>
      <c r="B108" s="131" t="inlineStr">
        <is>
          <t>Programming &amp; Projects data review — fund sources, allocations, project master</t>
        </is>
      </c>
      <c r="C108" s="132" t="n">
        <v>46209</v>
      </c>
      <c r="D108" s="132" t="n">
        <v>46248</v>
      </c>
      <c r="E108" s="130" t="inlineStr">
        <is>
          <t>Salzwedel</t>
        </is>
      </c>
      <c r="F108" s="133" t="n">
        <v>16</v>
      </c>
      <c r="G108" s="134">
        <f>F108*216.66</f>
        <v/>
      </c>
      <c r="H108" s="131" t="n"/>
      <c r="I108" s="135" t="inlineStr">
        <is>
          <t>Not Started</t>
        </is>
      </c>
    </row>
    <row r="109" ht="15" customHeight="1" s="116">
      <c r="A109" s="130" t="inlineStr">
        <is>
          <t>1.11.2</t>
        </is>
      </c>
      <c r="B109" s="131" t="inlineStr">
        <is>
          <t>Programming &amp; Projects data review — fund sources, allocations, project master</t>
        </is>
      </c>
      <c r="C109" s="132" t="n">
        <v>46209</v>
      </c>
      <c r="D109" s="132" t="n">
        <v>46248</v>
      </c>
      <c r="E109" s="130" t="inlineStr">
        <is>
          <t>Chang</t>
        </is>
      </c>
      <c r="F109" s="133" t="n">
        <v>36</v>
      </c>
      <c r="G109" s="134">
        <f>F109*102.89</f>
        <v/>
      </c>
      <c r="H109" s="131" t="n"/>
      <c r="I109" s="135" t="inlineStr">
        <is>
          <t>Not Started</t>
        </is>
      </c>
    </row>
    <row r="110" ht="15" customHeight="1" s="116">
      <c r="A110" s="130" t="inlineStr">
        <is>
          <t>1.11.2</t>
        </is>
      </c>
      <c r="B110" s="131" t="inlineStr">
        <is>
          <t>Programming &amp; Projects data review — fund sources, allocations, project master</t>
        </is>
      </c>
      <c r="C110" s="132" t="n">
        <v>46209</v>
      </c>
      <c r="D110" s="132" t="n">
        <v>46248</v>
      </c>
      <c r="E110" s="130" t="inlineStr">
        <is>
          <t>Lee</t>
        </is>
      </c>
      <c r="F110" s="133" t="n">
        <v>36</v>
      </c>
      <c r="G110" s="134">
        <f>F110*114.65</f>
        <v/>
      </c>
      <c r="H110" s="131" t="n"/>
      <c r="I110" s="135" t="inlineStr">
        <is>
          <t>Not Started</t>
        </is>
      </c>
    </row>
    <row r="111" ht="15" customHeight="1" s="116">
      <c r="A111" s="130" t="inlineStr">
        <is>
          <t>1.11.3</t>
        </is>
      </c>
      <c r="B111" s="131" t="inlineStr">
        <is>
          <t>Contracts &amp; Invoice data review — C1/C2, vendors, invoices, check runs</t>
        </is>
      </c>
      <c r="C111" s="132" t="n">
        <v>46244</v>
      </c>
      <c r="D111" s="132" t="n">
        <v>46283</v>
      </c>
      <c r="E111" s="130" t="inlineStr">
        <is>
          <t>Nipper</t>
        </is>
      </c>
      <c r="F111" s="133" t="n">
        <v>40</v>
      </c>
      <c r="G111" s="134">
        <f>F111*341.01</f>
        <v/>
      </c>
      <c r="H111" s="131" t="n"/>
      <c r="I111" s="135" t="inlineStr">
        <is>
          <t>Not Started</t>
        </is>
      </c>
    </row>
    <row r="112" ht="15" customHeight="1" s="116">
      <c r="A112" s="130" t="inlineStr">
        <is>
          <t>1.11.3</t>
        </is>
      </c>
      <c r="B112" s="131" t="inlineStr">
        <is>
          <t>Contracts &amp; Invoice data review — C1/C2, vendors, invoices, check runs</t>
        </is>
      </c>
      <c r="C112" s="132" t="n">
        <v>46244</v>
      </c>
      <c r="D112" s="132" t="n">
        <v>46283</v>
      </c>
      <c r="E112" s="130" t="inlineStr">
        <is>
          <t>Salzwedel</t>
        </is>
      </c>
      <c r="F112" s="133" t="n">
        <v>24</v>
      </c>
      <c r="G112" s="134">
        <f>F112*216.66</f>
        <v/>
      </c>
      <c r="H112" s="131" t="n"/>
      <c r="I112" s="135" t="inlineStr">
        <is>
          <t>Not Started</t>
        </is>
      </c>
    </row>
    <row r="113" ht="15" customHeight="1" s="116">
      <c r="A113" s="130" t="inlineStr">
        <is>
          <t>1.11.3</t>
        </is>
      </c>
      <c r="B113" s="131" t="inlineStr">
        <is>
          <t>Contracts &amp; Invoice data review — C1/C2, vendors, invoices, check runs</t>
        </is>
      </c>
      <c r="C113" s="132" t="n">
        <v>46244</v>
      </c>
      <c r="D113" s="132" t="n">
        <v>46283</v>
      </c>
      <c r="E113" s="130" t="inlineStr">
        <is>
          <t>Chang</t>
        </is>
      </c>
      <c r="F113" s="133" t="n">
        <v>44</v>
      </c>
      <c r="G113" s="134">
        <f>F113*102.89</f>
        <v/>
      </c>
      <c r="H113" s="131" t="n"/>
      <c r="I113" s="135" t="inlineStr">
        <is>
          <t>Not Started</t>
        </is>
      </c>
    </row>
    <row r="114" ht="15" customHeight="1" s="116">
      <c r="A114" s="130" t="inlineStr">
        <is>
          <t>1.11.3</t>
        </is>
      </c>
      <c r="B114" s="131" t="inlineStr">
        <is>
          <t>Contracts &amp; Invoice data review — C1/C2, vendors, invoices, check runs</t>
        </is>
      </c>
      <c r="C114" s="132" t="n">
        <v>46244</v>
      </c>
      <c r="D114" s="132" t="n">
        <v>46283</v>
      </c>
      <c r="E114" s="130" t="inlineStr">
        <is>
          <t>Lee</t>
        </is>
      </c>
      <c r="F114" s="133" t="n">
        <v>44</v>
      </c>
      <c r="G114" s="134">
        <f>F114*114.65</f>
        <v/>
      </c>
      <c r="H114" s="131" t="n"/>
      <c r="I114" s="135" t="inlineStr">
        <is>
          <t>Not Started</t>
        </is>
      </c>
    </row>
    <row r="115" ht="15" customHeight="1" s="116">
      <c r="A115" s="130" t="inlineStr">
        <is>
          <t>1.11.4</t>
        </is>
      </c>
      <c r="B115" s="131" t="inlineStr">
        <is>
          <t>Funding &amp; AccuFund sync data review — grants, allotments, DIAs, GL sync</t>
        </is>
      </c>
      <c r="C115" s="132" t="n">
        <v>46279</v>
      </c>
      <c r="D115" s="132" t="n">
        <v>46304</v>
      </c>
      <c r="E115" s="130" t="inlineStr">
        <is>
          <t>Nipper</t>
        </is>
      </c>
      <c r="F115" s="133" t="n">
        <v>20</v>
      </c>
      <c r="G115" s="134">
        <f>F115*341.01</f>
        <v/>
      </c>
      <c r="H115" s="131" t="n"/>
      <c r="I115" s="135" t="inlineStr">
        <is>
          <t>Not Started</t>
        </is>
      </c>
    </row>
    <row r="116" ht="15" customHeight="1" s="116">
      <c r="A116" s="130" t="inlineStr">
        <is>
          <t>1.11.4</t>
        </is>
      </c>
      <c r="B116" s="131" t="inlineStr">
        <is>
          <t>Funding &amp; AccuFund sync data review — grants, allotments, DIAs, GL sync</t>
        </is>
      </c>
      <c r="C116" s="132" t="n">
        <v>46279</v>
      </c>
      <c r="D116" s="132" t="n">
        <v>46304</v>
      </c>
      <c r="E116" s="130" t="inlineStr">
        <is>
          <t>Nassayan</t>
        </is>
      </c>
      <c r="F116" s="133" t="n">
        <v>20</v>
      </c>
      <c r="G116" s="134">
        <f>F116*260</f>
        <v/>
      </c>
      <c r="H116" s="131" t="inlineStr">
        <is>
          <t>AccuFund sync table expertise</t>
        </is>
      </c>
      <c r="I116" s="135" t="inlineStr">
        <is>
          <t>Not Started</t>
        </is>
      </c>
    </row>
    <row r="117" ht="15" customHeight="1" s="116">
      <c r="A117" s="130" t="inlineStr">
        <is>
          <t>1.11.5</t>
        </is>
      </c>
      <c r="B117" s="131" t="inlineStr">
        <is>
          <t>Final data validation &amp; cleanup signoff (gates Migration Dry Run 2)</t>
        </is>
      </c>
      <c r="C117" s="132" t="n">
        <v>46300</v>
      </c>
      <c r="D117" s="132" t="n">
        <v>46311</v>
      </c>
      <c r="E117" s="130" t="inlineStr">
        <is>
          <t>Cole</t>
        </is>
      </c>
      <c r="F117" s="133" t="n">
        <v>24</v>
      </c>
      <c r="G117" s="134">
        <f>F117*407.04</f>
        <v/>
      </c>
      <c r="H117" s="131" t="n"/>
      <c r="I117" s="135" t="inlineStr">
        <is>
          <t>Not Started</t>
        </is>
      </c>
    </row>
    <row r="118" ht="15" customHeight="1" s="116">
      <c r="A118" s="130" t="inlineStr">
        <is>
          <t>1.11.5</t>
        </is>
      </c>
      <c r="B118" s="131" t="inlineStr">
        <is>
          <t>Final data validation &amp; cleanup signoff (gates Migration Dry Run 2)</t>
        </is>
      </c>
      <c r="C118" s="132" t="n">
        <v>46300</v>
      </c>
      <c r="D118" s="132" t="n">
        <v>46311</v>
      </c>
      <c r="E118" s="130" t="inlineStr">
        <is>
          <t>Nipper</t>
        </is>
      </c>
      <c r="F118" s="133" t="n">
        <v>8</v>
      </c>
      <c r="G118" s="134">
        <f>F118*341.01</f>
        <v/>
      </c>
      <c r="H118" s="131" t="n"/>
      <c r="I118" s="135" t="inlineStr">
        <is>
          <t>Not Started</t>
        </is>
      </c>
    </row>
    <row r="119" ht="15" customHeight="1" s="116">
      <c r="A119" s="130" t="inlineStr">
        <is>
          <t>1.11.5</t>
        </is>
      </c>
      <c r="B119" s="131" t="inlineStr">
        <is>
          <t>Final data validation &amp; cleanup signoff (gates Migration Dry Run 2)</t>
        </is>
      </c>
      <c r="C119" s="132" t="n">
        <v>46300</v>
      </c>
      <c r="D119" s="132" t="n">
        <v>46311</v>
      </c>
      <c r="E119" s="130" t="inlineStr">
        <is>
          <t>Salzwedel</t>
        </is>
      </c>
      <c r="F119" s="133" t="n">
        <v>20</v>
      </c>
      <c r="G119" s="134">
        <f>F119*216.66</f>
        <v/>
      </c>
      <c r="H119" s="131" t="inlineStr">
        <is>
          <t>ACTC compliance signoff</t>
        </is>
      </c>
      <c r="I119" s="135" t="inlineStr">
        <is>
          <t>Not Started</t>
        </is>
      </c>
    </row>
    <row r="120" ht="15" customHeight="1" s="116">
      <c r="A120" s="165" t="inlineStr">
        <is>
          <t>M3.5</t>
        </is>
      </c>
      <c r="B120" s="166" t="inlineStr">
        <is>
          <t>★ Data Cleanup Complete — gates Migration Dry Run 2 and Dashboard Finalization</t>
        </is>
      </c>
      <c r="C120" s="166" t="n"/>
      <c r="D120" s="167" t="n">
        <v>46311</v>
      </c>
      <c r="E120" s="166" t="n"/>
      <c r="F120" s="166" t="n"/>
      <c r="G120" s="166" t="n"/>
      <c r="H120" s="166" t="n"/>
    </row>
    <row r="121" ht="15" customHeight="1" s="116">
      <c r="A121" s="136" t="inlineStr">
        <is>
          <t>1.7</t>
        </is>
      </c>
      <c r="B121" s="137" t="inlineStr">
        <is>
          <t>Data Migration</t>
        </is>
      </c>
      <c r="C121" s="138" t="n">
        <v>46235</v>
      </c>
      <c r="D121" s="138" t="n">
        <v>46318</v>
      </c>
      <c r="E121" s="137" t="n"/>
      <c r="F121" s="139" t="n"/>
      <c r="G121" s="140" t="n"/>
      <c r="H121" s="141" t="n"/>
    </row>
    <row r="122" ht="15" customHeight="1" s="116">
      <c r="A122" s="142" t="inlineStr">
        <is>
          <t>1.7.1</t>
        </is>
      </c>
      <c r="B122" s="143" t="inlineStr">
        <is>
          <t>Migration scripts (SQL Server → Supabase)</t>
        </is>
      </c>
      <c r="C122" s="144" t="n">
        <v>46235</v>
      </c>
      <c r="D122" s="144" t="n">
        <v>46280</v>
      </c>
      <c r="E122" s="143" t="inlineStr">
        <is>
          <t>Nassayan</t>
        </is>
      </c>
      <c r="F122" s="145" t="n">
        <v>80</v>
      </c>
      <c r="G122" s="146">
        <f>F122*260</f>
        <v/>
      </c>
      <c r="H122" s="147" t="inlineStr">
        <is>
          <t>Selective — bad data excluded</t>
        </is>
      </c>
      <c r="I122" s="135" t="inlineStr">
        <is>
          <t>Not Started</t>
        </is>
      </c>
    </row>
    <row r="123" ht="15" customHeight="1" s="116">
      <c r="A123" s="142" t="inlineStr">
        <is>
          <t>1.7.1</t>
        </is>
      </c>
      <c r="B123" s="143" t="inlineStr">
        <is>
          <t>Migration scripts (SQL Server → Supabase)</t>
        </is>
      </c>
      <c r="C123" s="144" t="n">
        <v>46235</v>
      </c>
      <c r="D123" s="144" t="n">
        <v>46280</v>
      </c>
      <c r="E123" s="143" t="inlineStr">
        <is>
          <t>Cole</t>
        </is>
      </c>
      <c r="F123" s="145" t="n">
        <v>16</v>
      </c>
      <c r="G123" s="146">
        <f>F123*407.04</f>
        <v/>
      </c>
      <c r="H123" s="147" t="n"/>
      <c r="I123" s="135" t="inlineStr">
        <is>
          <t>Not Started</t>
        </is>
      </c>
    </row>
    <row r="124" ht="15" customHeight="1" s="116">
      <c r="A124" s="142" t="inlineStr">
        <is>
          <t>1.7.2</t>
        </is>
      </c>
      <c r="B124" s="143" t="inlineStr">
        <is>
          <t>Dry Run 1 &amp; 2 — migrate, validate, iterate</t>
        </is>
      </c>
      <c r="C124" s="144" t="n">
        <v>46280</v>
      </c>
      <c r="D124" s="144" t="n">
        <v>46318</v>
      </c>
      <c r="E124" s="143" t="inlineStr">
        <is>
          <t>Nassayan</t>
        </is>
      </c>
      <c r="F124" s="145" t="n">
        <v>48</v>
      </c>
      <c r="G124" s="146">
        <f>F124*260</f>
        <v/>
      </c>
      <c r="H124" s="147" t="n"/>
      <c r="I124" s="135" t="inlineStr">
        <is>
          <t>Not Started</t>
        </is>
      </c>
    </row>
    <row r="125" ht="15" customHeight="1" s="116">
      <c r="A125" s="142" t="inlineStr">
        <is>
          <t>1.7.2</t>
        </is>
      </c>
      <c r="B125" s="143" t="inlineStr">
        <is>
          <t>Dry Run 1 &amp; 2 — migrate, validate, iterate</t>
        </is>
      </c>
      <c r="C125" s="144" t="n">
        <v>46280</v>
      </c>
      <c r="D125" s="144" t="n">
        <v>46318</v>
      </c>
      <c r="E125" s="143" t="inlineStr">
        <is>
          <t>Cole</t>
        </is>
      </c>
      <c r="F125" s="145" t="n">
        <v>12</v>
      </c>
      <c r="G125" s="146">
        <f>F125*407.04</f>
        <v/>
      </c>
      <c r="H125" s="147" t="n"/>
      <c r="I125" s="135" t="inlineStr">
        <is>
          <t>Not Started</t>
        </is>
      </c>
    </row>
    <row r="126" ht="15" customHeight="1" s="116">
      <c r="A126" s="142" t="inlineStr">
        <is>
          <t>1.7.3</t>
        </is>
      </c>
      <c r="B126" s="143" t="inlineStr">
        <is>
          <t>Migration documentation &amp; data dictionary</t>
        </is>
      </c>
      <c r="C126" s="144" t="n">
        <v>46301</v>
      </c>
      <c r="D126" s="144" t="n">
        <v>46318</v>
      </c>
      <c r="E126" s="143" t="inlineStr">
        <is>
          <t>Nipper</t>
        </is>
      </c>
      <c r="F126" s="145" t="n">
        <v>16</v>
      </c>
      <c r="G126" s="146">
        <f>F126*341.01</f>
        <v/>
      </c>
      <c r="H126" s="147" t="n"/>
      <c r="I126" s="135" t="inlineStr">
        <is>
          <t>Not Started</t>
        </is>
      </c>
    </row>
    <row r="127" ht="15" customHeight="1" s="116">
      <c r="A127" s="142" t="inlineStr">
        <is>
          <t>1.7.4</t>
        </is>
      </c>
      <c r="B127" s="143" t="inlineStr">
        <is>
          <t>Migration testing</t>
        </is>
      </c>
      <c r="C127" s="144" t="n">
        <v>46301</v>
      </c>
      <c r="D127" s="144" t="n">
        <v>46318</v>
      </c>
      <c r="E127" s="143" t="inlineStr">
        <is>
          <t>Chang</t>
        </is>
      </c>
      <c r="F127" s="145" t="n">
        <v>24</v>
      </c>
      <c r="G127" s="146">
        <f>F127*102.89</f>
        <v/>
      </c>
      <c r="H127" s="147" t="n"/>
      <c r="I127" s="135" t="inlineStr">
        <is>
          <t>Not Started</t>
        </is>
      </c>
    </row>
    <row r="128" ht="15" customHeight="1" s="116">
      <c r="A128" s="142" t="inlineStr">
        <is>
          <t>1.7.4</t>
        </is>
      </c>
      <c r="B128" s="143" t="inlineStr">
        <is>
          <t>Migration testing</t>
        </is>
      </c>
      <c r="C128" s="144" t="n">
        <v>46301</v>
      </c>
      <c r="D128" s="144" t="n">
        <v>46318</v>
      </c>
      <c r="E128" s="143" t="inlineStr">
        <is>
          <t>Lee</t>
        </is>
      </c>
      <c r="F128" s="145" t="n">
        <v>24</v>
      </c>
      <c r="G128" s="146">
        <f>F128*114.65</f>
        <v/>
      </c>
      <c r="H128" s="147" t="n"/>
      <c r="I128" s="135" t="inlineStr">
        <is>
          <t>Not Started</t>
        </is>
      </c>
    </row>
    <row r="129" ht="15" customHeight="1" s="116">
      <c r="A129" s="148" t="inlineStr">
        <is>
          <t>M4</t>
        </is>
      </c>
      <c r="B129" s="149" t="inlineStr">
        <is>
          <t>★ Migration Validated (Dry Run 2 passes)</t>
        </is>
      </c>
      <c r="C129" s="150" t="n"/>
      <c r="D129" s="151" t="n">
        <v>46318</v>
      </c>
      <c r="E129" s="149" t="n"/>
      <c r="F129" s="150" t="n"/>
      <c r="G129" s="152" t="n"/>
      <c r="H129" s="153" t="n"/>
    </row>
    <row r="130" ht="15" customHeight="1" s="116">
      <c r="A130" s="136" t="inlineStr">
        <is>
          <t>1.8</t>
        </is>
      </c>
      <c r="B130" s="137" t="inlineStr">
        <is>
          <t>Cross-cutting Features</t>
        </is>
      </c>
      <c r="C130" s="138" t="n">
        <v>46266</v>
      </c>
      <c r="D130" s="138" t="n">
        <v>46325</v>
      </c>
      <c r="E130" s="137" t="n"/>
      <c r="F130" s="139" t="n"/>
      <c r="G130" s="140" t="n"/>
      <c r="H130" s="141" t="n"/>
    </row>
    <row r="131" ht="15" customHeight="1" s="116">
      <c r="A131" s="142" t="inlineStr">
        <is>
          <t>1.8.1</t>
        </is>
      </c>
      <c r="B131" s="143" t="inlineStr">
        <is>
          <t>AI Assistant — chat panel, knowledge base, context tools</t>
        </is>
      </c>
      <c r="C131" s="144" t="n">
        <v>46266</v>
      </c>
      <c r="D131" s="144" t="n">
        <v>46311</v>
      </c>
      <c r="E131" s="143" t="inlineStr">
        <is>
          <t>Mortazavi</t>
        </is>
      </c>
      <c r="F131" s="145" t="n">
        <v>48</v>
      </c>
      <c r="G131" s="146">
        <f>F131*278.3</f>
        <v/>
      </c>
      <c r="H131" s="147" t="inlineStr">
        <is>
          <t>Architecture + prompts</t>
        </is>
      </c>
      <c r="I131" s="135" t="inlineStr">
        <is>
          <t>Not Started</t>
        </is>
      </c>
    </row>
    <row r="132" ht="15" customHeight="1" s="116">
      <c r="A132" s="142" t="inlineStr">
        <is>
          <t>1.8.1</t>
        </is>
      </c>
      <c r="B132" s="143" t="inlineStr">
        <is>
          <t>AI Assistant — chat panel, knowledge base, context tools</t>
        </is>
      </c>
      <c r="C132" s="144" t="n">
        <v>46266</v>
      </c>
      <c r="D132" s="144" t="n">
        <v>46311</v>
      </c>
      <c r="E132" s="143" t="inlineStr">
        <is>
          <t>Cole</t>
        </is>
      </c>
      <c r="F132" s="145" t="n">
        <v>28</v>
      </c>
      <c r="G132" s="146">
        <f>F132*407.04</f>
        <v/>
      </c>
      <c r="H132" s="147" t="n"/>
      <c r="I132" s="135" t="inlineStr">
        <is>
          <t>Not Started</t>
        </is>
      </c>
    </row>
    <row r="133" ht="26.25" customHeight="1" s="116">
      <c r="A133" s="142" t="inlineStr">
        <is>
          <t>1.8.1</t>
        </is>
      </c>
      <c r="B133" s="143" t="inlineStr">
        <is>
          <t>AI Assistant — chat panel, knowledge base, context tools</t>
        </is>
      </c>
      <c r="C133" s="144" t="n">
        <v>46266</v>
      </c>
      <c r="D133" s="144" t="n">
        <v>46311</v>
      </c>
      <c r="E133" s="143" t="inlineStr">
        <is>
          <t>Brown</t>
        </is>
      </c>
      <c r="F133" s="145" t="n">
        <v>32</v>
      </c>
      <c r="G133" s="146">
        <f>F133*217.8</f>
        <v/>
      </c>
      <c r="H133" s="147" t="n"/>
      <c r="I133" s="135" t="inlineStr">
        <is>
          <t>Not Started</t>
        </is>
      </c>
    </row>
    <row r="134" ht="15" customHeight="1" s="116">
      <c r="A134" s="142" t="inlineStr">
        <is>
          <t>1.8.2</t>
        </is>
      </c>
      <c r="B134" s="143" t="inlineStr">
        <is>
          <t>Tooltips, PMI terminology, training module, org chart</t>
        </is>
      </c>
      <c r="C134" s="144" t="n">
        <v>46280</v>
      </c>
      <c r="D134" s="144" t="n">
        <v>46311</v>
      </c>
      <c r="E134" s="143" t="inlineStr">
        <is>
          <t>Nipper</t>
        </is>
      </c>
      <c r="F134" s="145" t="n">
        <v>28</v>
      </c>
      <c r="G134" s="146">
        <f>F134*341.01</f>
        <v/>
      </c>
      <c r="H134" s="147" t="inlineStr">
        <is>
          <t>PMI standards + 30 definitions</t>
        </is>
      </c>
      <c r="I134" s="135" t="inlineStr">
        <is>
          <t>Not Started</t>
        </is>
      </c>
    </row>
    <row r="135" ht="15" customHeight="1" s="116">
      <c r="A135" s="142" t="inlineStr">
        <is>
          <t>1.8.2</t>
        </is>
      </c>
      <c r="B135" s="143" t="inlineStr">
        <is>
          <t>Tooltips, PMI terminology, training module, org chart</t>
        </is>
      </c>
      <c r="C135" s="144" t="n">
        <v>46280</v>
      </c>
      <c r="D135" s="144" t="n">
        <v>46311</v>
      </c>
      <c r="E135" s="143" t="inlineStr">
        <is>
          <t>Cole</t>
        </is>
      </c>
      <c r="F135" s="145" t="n">
        <v>16</v>
      </c>
      <c r="G135" s="146">
        <f>F135*407.04</f>
        <v/>
      </c>
      <c r="H135" s="147" t="n"/>
      <c r="I135" s="135" t="inlineStr">
        <is>
          <t>Not Started</t>
        </is>
      </c>
    </row>
    <row r="136" ht="15" customHeight="1" s="116">
      <c r="A136" s="142" t="inlineStr">
        <is>
          <t>1.8.2</t>
        </is>
      </c>
      <c r="B136" s="143" t="inlineStr">
        <is>
          <t>Tooltips, PMI terminology, training module, org chart</t>
        </is>
      </c>
      <c r="C136" s="144" t="n">
        <v>46280</v>
      </c>
      <c r="D136" s="144" t="n">
        <v>46311</v>
      </c>
      <c r="E136" s="143" t="inlineStr">
        <is>
          <t>Brown</t>
        </is>
      </c>
      <c r="F136" s="145" t="n">
        <v>16</v>
      </c>
      <c r="G136" s="146">
        <f>F136*217.8</f>
        <v/>
      </c>
      <c r="H136" s="147" t="n"/>
      <c r="I136" s="135" t="inlineStr">
        <is>
          <t>Not Started</t>
        </is>
      </c>
    </row>
    <row r="137" ht="15" customHeight="1" s="116">
      <c r="A137" s="142" t="inlineStr">
        <is>
          <t>1.8.3</t>
        </is>
      </c>
      <c r="B137" s="143" t="inlineStr">
        <is>
          <t>Print/export on all modules (PDF + Excel, ACTC branded)</t>
        </is>
      </c>
      <c r="C137" s="144" t="n">
        <v>46305</v>
      </c>
      <c r="D137" s="144" t="n">
        <v>46318</v>
      </c>
      <c r="E137" s="143" t="inlineStr">
        <is>
          <t>Cole</t>
        </is>
      </c>
      <c r="F137" s="145" t="n">
        <v>8</v>
      </c>
      <c r="G137" s="146">
        <f>F137*407.04</f>
        <v/>
      </c>
      <c r="H137" s="147" t="n"/>
      <c r="I137" s="135" t="inlineStr">
        <is>
          <t>Not Started</t>
        </is>
      </c>
    </row>
    <row r="138" ht="15" customHeight="1" s="116">
      <c r="A138" s="142" t="inlineStr">
        <is>
          <t>1.8.3</t>
        </is>
      </c>
      <c r="B138" s="143" t="inlineStr">
        <is>
          <t>Print/export on all modules (PDF + Excel, ACTC branded)</t>
        </is>
      </c>
      <c r="C138" s="144" t="n">
        <v>46305</v>
      </c>
      <c r="D138" s="144" t="n">
        <v>46318</v>
      </c>
      <c r="E138" s="143" t="inlineStr">
        <is>
          <t>Brown</t>
        </is>
      </c>
      <c r="F138" s="145" t="n">
        <v>12</v>
      </c>
      <c r="G138" s="146">
        <f>F138*217.8</f>
        <v/>
      </c>
      <c r="H138" s="147" t="n"/>
      <c r="I138" s="135" t="inlineStr">
        <is>
          <t>Not Started</t>
        </is>
      </c>
    </row>
    <row r="139" ht="15" customHeight="1" s="116">
      <c r="A139" s="136" t="inlineStr">
        <is>
          <t>1.9</t>
        </is>
      </c>
      <c r="B139" s="137" t="inlineStr">
        <is>
          <t>Tableau Reporting Setup — Phase 1 (Build → Finalize dependency chain)</t>
        </is>
      </c>
      <c r="C139" s="138" t="n">
        <v>46235</v>
      </c>
      <c r="D139" s="138" t="n">
        <v>46332</v>
      </c>
      <c r="E139" s="137" t="n"/>
      <c r="F139" s="139" t="n"/>
      <c r="G139" s="140" t="n"/>
      <c r="H139" s="141" t="n"/>
    </row>
    <row r="140" ht="15" customHeight="1" s="116">
      <c r="A140" s="142" t="inlineStr">
        <is>
          <t>1.9.1</t>
        </is>
      </c>
      <c r="B140" s="143" t="inlineStr">
        <is>
          <t>1.9a Build — BigQuery reporting views &amp; materialized tables (once schema live)</t>
        </is>
      </c>
      <c r="C140" s="144" t="n">
        <v>46235</v>
      </c>
      <c r="D140" s="144" t="n">
        <v>46280</v>
      </c>
      <c r="E140" s="143" t="inlineStr">
        <is>
          <t>Nassayan</t>
        </is>
      </c>
      <c r="F140" s="145" t="n">
        <v>100</v>
      </c>
      <c r="G140" s="146">
        <f>F140*260</f>
        <v/>
      </c>
      <c r="H140" s="147" t="inlineStr">
        <is>
          <t>Analytics layer; starts after M1</t>
        </is>
      </c>
      <c r="I140" s="135" t="inlineStr">
        <is>
          <t>Not Started</t>
        </is>
      </c>
    </row>
    <row r="141" ht="15" customHeight="1" s="116">
      <c r="A141" s="142" t="inlineStr">
        <is>
          <t>1.9.2</t>
        </is>
      </c>
      <c r="B141" s="143" t="inlineStr">
        <is>
          <t>1.9a Build — Tableau Cloud connection &amp; core internal dashboards (development)</t>
        </is>
      </c>
      <c r="C141" s="144" t="n">
        <v>46266</v>
      </c>
      <c r="D141" s="144" t="n">
        <v>46305</v>
      </c>
      <c r="E141" s="143" t="inlineStr">
        <is>
          <t>Nassayan</t>
        </is>
      </c>
      <c r="F141" s="145" t="n">
        <v>120</v>
      </c>
      <c r="G141" s="146">
        <f>F141*260</f>
        <v/>
      </c>
      <c r="H141" s="147" t="inlineStr">
        <is>
          <t>Budget/contract/invoice/funding; refined as data cleans up</t>
        </is>
      </c>
      <c r="I141" s="135" t="inlineStr">
        <is>
          <t>Not Started</t>
        </is>
      </c>
    </row>
    <row r="142" ht="15" customHeight="1" s="116">
      <c r="A142" s="130" t="inlineStr">
        <is>
          <t>1.9.3</t>
        </is>
      </c>
      <c r="B142" s="131" t="inlineStr">
        <is>
          <t>1.9b Finalize — Dashboard validation &amp; finalization against cleaned data (post-M3.5)</t>
        </is>
      </c>
      <c r="C142" s="132" t="n">
        <v>46314</v>
      </c>
      <c r="D142" s="132" t="n">
        <v>46325</v>
      </c>
      <c r="E142" s="130" t="inlineStr">
        <is>
          <t>Nassayan</t>
        </is>
      </c>
      <c r="F142" s="133" t="n">
        <v>40</v>
      </c>
      <c r="G142" s="134">
        <f>F142*260</f>
        <v/>
      </c>
      <c r="H142" s="131" t="inlineStr">
        <is>
          <t>Gated by M3.5 Data Cleanup Complete</t>
        </is>
      </c>
      <c r="I142" s="135" t="inlineStr">
        <is>
          <t>Not Started</t>
        </is>
      </c>
    </row>
    <row r="143" ht="15" customHeight="1" s="116">
      <c r="A143" s="130" t="inlineStr">
        <is>
          <t>1.9.4</t>
        </is>
      </c>
      <c r="B143" s="131" t="inlineStr">
        <is>
          <t>1.9b Finalize — Susan's Reporting Template dashboard</t>
        </is>
      </c>
      <c r="C143" s="132" t="n">
        <v>46321</v>
      </c>
      <c r="D143" s="132" t="n">
        <v>46332</v>
      </c>
      <c r="E143" s="130" t="inlineStr">
        <is>
          <t>Nassayan</t>
        </is>
      </c>
      <c r="F143" s="133" t="n">
        <v>40</v>
      </c>
      <c r="G143" s="134">
        <f>F143*260</f>
        <v/>
      </c>
      <c r="H143" s="131" t="inlineStr">
        <is>
          <t>Per ACTC reporting template</t>
        </is>
      </c>
      <c r="I143" s="135" t="inlineStr">
        <is>
          <t>Not Started</t>
        </is>
      </c>
    </row>
    <row r="144" ht="15" customHeight="1" s="116">
      <c r="A144" s="130" t="inlineStr">
        <is>
          <t>1.9.4</t>
        </is>
      </c>
      <c r="B144" s="131" t="inlineStr">
        <is>
          <t>1.9b Finalize — Susan's Reporting Template dashboard</t>
        </is>
      </c>
      <c r="C144" s="132" t="n">
        <v>46321</v>
      </c>
      <c r="D144" s="132" t="n">
        <v>46332</v>
      </c>
      <c r="E144" s="130" t="inlineStr">
        <is>
          <t>Cole</t>
        </is>
      </c>
      <c r="F144" s="133" t="n">
        <v>8</v>
      </c>
      <c r="G144" s="134">
        <f>F144*407.04</f>
        <v/>
      </c>
      <c r="H144" s="131" t="inlineStr">
        <is>
          <t>Requirements + review</t>
        </is>
      </c>
      <c r="I144" s="135" t="inlineStr">
        <is>
          <t>Not Started</t>
        </is>
      </c>
    </row>
    <row r="145" ht="15" customHeight="1" s="116">
      <c r="A145" s="142" t="inlineStr">
        <is>
          <t>1.9.5</t>
        </is>
      </c>
      <c r="B145" s="143" t="inlineStr">
        <is>
          <t>Tableau reporting documentation (both build and finalize phases)</t>
        </is>
      </c>
      <c r="C145" s="144" t="n">
        <v>46310</v>
      </c>
      <c r="D145" s="144" t="n">
        <v>46332</v>
      </c>
      <c r="E145" s="143" t="inlineStr">
        <is>
          <t>Nipper</t>
        </is>
      </c>
      <c r="F145" s="145" t="n">
        <v>12</v>
      </c>
      <c r="G145" s="146">
        <f>F145*341.01</f>
        <v/>
      </c>
      <c r="H145" s="147" t="n"/>
      <c r="I145" s="135" t="inlineStr">
        <is>
          <t>Not Started</t>
        </is>
      </c>
    </row>
    <row r="146" ht="15" customHeight="1" s="116">
      <c r="A146" s="136" t="inlineStr">
        <is>
          <t>1.10</t>
        </is>
      </c>
      <c r="B146" s="137" t="inlineStr">
        <is>
          <t>UAT &amp; Go-Live Prep</t>
        </is>
      </c>
      <c r="C146" s="138" t="n">
        <v>46307</v>
      </c>
      <c r="D146" s="138" t="n">
        <v>46325</v>
      </c>
      <c r="E146" s="137" t="n"/>
      <c r="F146" s="139" t="n"/>
      <c r="G146" s="140" t="n"/>
      <c r="H146" s="141" t="n"/>
    </row>
    <row r="147" ht="15" customHeight="1" s="116">
      <c r="A147" s="142" t="inlineStr">
        <is>
          <t>1.10.1</t>
        </is>
      </c>
      <c r="B147" s="143" t="inlineStr">
        <is>
          <t>User acceptance testing</t>
        </is>
      </c>
      <c r="C147" s="144" t="n">
        <v>46307</v>
      </c>
      <c r="D147" s="144" t="n">
        <v>46318</v>
      </c>
      <c r="E147" s="143" t="inlineStr">
        <is>
          <t>Chang</t>
        </is>
      </c>
      <c r="F147" s="145" t="n">
        <v>36</v>
      </c>
      <c r="G147" s="146">
        <f>F147*102.89</f>
        <v/>
      </c>
      <c r="H147" s="147" t="n"/>
      <c r="I147" s="135" t="inlineStr">
        <is>
          <t>Not Started</t>
        </is>
      </c>
    </row>
    <row r="148" ht="15" customHeight="1" s="116">
      <c r="A148" s="142" t="inlineStr">
        <is>
          <t>1.10.1</t>
        </is>
      </c>
      <c r="B148" s="143" t="inlineStr">
        <is>
          <t>User acceptance testing</t>
        </is>
      </c>
      <c r="C148" s="144" t="n">
        <v>46307</v>
      </c>
      <c r="D148" s="144" t="n">
        <v>46318</v>
      </c>
      <c r="E148" s="143" t="inlineStr">
        <is>
          <t>Lee</t>
        </is>
      </c>
      <c r="F148" s="145" t="n">
        <v>36</v>
      </c>
      <c r="G148" s="146">
        <f>F148*114.65</f>
        <v/>
      </c>
      <c r="H148" s="147" t="n"/>
      <c r="I148" s="135" t="inlineStr">
        <is>
          <t>Not Started</t>
        </is>
      </c>
    </row>
    <row r="149" ht="15" customHeight="1" s="116">
      <c r="A149" s="142" t="inlineStr">
        <is>
          <t>1.10.2</t>
        </is>
      </c>
      <c r="B149" s="143" t="inlineStr">
        <is>
          <t>Bug fixes, stabilization, AI Intake tuning</t>
        </is>
      </c>
      <c r="C149" s="144" t="n">
        <v>46314</v>
      </c>
      <c r="D149" s="144" t="n">
        <v>46325</v>
      </c>
      <c r="E149" s="143" t="inlineStr">
        <is>
          <t>Cole</t>
        </is>
      </c>
      <c r="F149" s="145" t="n">
        <v>20</v>
      </c>
      <c r="G149" s="146">
        <f>F149*407.04</f>
        <v/>
      </c>
      <c r="H149" s="147" t="n"/>
      <c r="I149" s="135" t="inlineStr">
        <is>
          <t>Not Started</t>
        </is>
      </c>
    </row>
    <row r="150" ht="15" customHeight="1" s="116">
      <c r="A150" s="142" t="inlineStr">
        <is>
          <t>1.10.2</t>
        </is>
      </c>
      <c r="B150" s="143" t="inlineStr">
        <is>
          <t>Bug fixes, stabilization, AI Intake tuning</t>
        </is>
      </c>
      <c r="C150" s="144" t="n">
        <v>46314</v>
      </c>
      <c r="D150" s="144" t="n">
        <v>46325</v>
      </c>
      <c r="E150" s="143" t="inlineStr">
        <is>
          <t>Brown</t>
        </is>
      </c>
      <c r="F150" s="145" t="n">
        <v>16</v>
      </c>
      <c r="G150" s="146">
        <f>F150*217.8</f>
        <v/>
      </c>
      <c r="H150" s="147" t="n"/>
      <c r="I150" s="135" t="inlineStr">
        <is>
          <t>Not Started</t>
        </is>
      </c>
    </row>
    <row r="151" ht="15" customHeight="1" s="116">
      <c r="A151" s="142" t="inlineStr">
        <is>
          <t>1.10.2</t>
        </is>
      </c>
      <c r="B151" s="143" t="inlineStr">
        <is>
          <t>Bug fixes, stabilization, AI Intake tuning</t>
        </is>
      </c>
      <c r="C151" s="144" t="n">
        <v>46314</v>
      </c>
      <c r="D151" s="144" t="n">
        <v>46325</v>
      </c>
      <c r="E151" s="143" t="inlineStr">
        <is>
          <t>Mortazavi</t>
        </is>
      </c>
      <c r="F151" s="145" t="n">
        <v>24</v>
      </c>
      <c r="G151" s="146">
        <f>F151*278.3</f>
        <v/>
      </c>
      <c r="H151" s="147" t="inlineStr">
        <is>
          <t>AI accuracy validation</t>
        </is>
      </c>
      <c r="I151" s="135" t="inlineStr">
        <is>
          <t>Not Started</t>
        </is>
      </c>
    </row>
    <row r="152" ht="15" customHeight="1" s="116">
      <c r="A152" s="142" t="inlineStr">
        <is>
          <t>1.10.3</t>
        </is>
      </c>
      <c r="B152" s="143" t="inlineStr">
        <is>
          <t>Go-live readiness &amp; compliance signoff</t>
        </is>
      </c>
      <c r="C152" s="144" t="n">
        <v>46321</v>
      </c>
      <c r="D152" s="144" t="n">
        <v>46325</v>
      </c>
      <c r="E152" s="143" t="inlineStr">
        <is>
          <t>Salzwedel</t>
        </is>
      </c>
      <c r="F152" s="145" t="n">
        <v>12</v>
      </c>
      <c r="G152" s="146">
        <f>F152*216.66</f>
        <v/>
      </c>
      <c r="H152" s="147" t="n"/>
      <c r="I152" s="135" t="inlineStr">
        <is>
          <t>Not Started</t>
        </is>
      </c>
    </row>
    <row r="153" ht="15" customHeight="1" s="116">
      <c r="A153" s="142" t="inlineStr">
        <is>
          <t>1.10.4</t>
        </is>
      </c>
      <c r="B153" s="143" t="inlineStr">
        <is>
          <t>Admin &amp; user guide finalization</t>
        </is>
      </c>
      <c r="C153" s="144" t="n">
        <v>46315</v>
      </c>
      <c r="D153" s="144" t="n">
        <v>46325</v>
      </c>
      <c r="E153" s="143" t="inlineStr">
        <is>
          <t>Nipper</t>
        </is>
      </c>
      <c r="F153" s="145" t="n">
        <v>24</v>
      </c>
      <c r="G153" s="146">
        <f>F153*341.01</f>
        <v/>
      </c>
      <c r="H153" s="147" t="n"/>
      <c r="I153" s="135" t="inlineStr">
        <is>
          <t>Not Started</t>
        </is>
      </c>
    </row>
    <row r="154" ht="15" customHeight="1" s="116">
      <c r="A154" s="168" t="n"/>
      <c r="B154" s="169" t="inlineStr">
        <is>
          <t>Phase 1 Subtotal</t>
        </is>
      </c>
      <c r="C154" s="170" t="n"/>
      <c r="D154" s="170" t="n"/>
      <c r="E154" s="169" t="n"/>
      <c r="F154" s="171">
        <f>SUM(F7:F153)</f>
        <v/>
      </c>
      <c r="G154" s="172">
        <f>SUM(G7:G153)</f>
        <v/>
      </c>
      <c r="H154" s="173" t="n"/>
    </row>
    <row r="155" ht="15" customHeight="1" s="116">
      <c r="A155" s="148" t="inlineStr">
        <is>
          <t>M5</t>
        </is>
      </c>
      <c r="B155" s="149" t="inlineStr">
        <is>
          <t>★ Phase 1 MVP Go-Live (parallel operation begins)</t>
        </is>
      </c>
      <c r="C155" s="150" t="n"/>
      <c r="D155" s="151" t="n">
        <v>46325</v>
      </c>
      <c r="E155" s="149" t="n"/>
      <c r="F155" s="150" t="n"/>
      <c r="G155" s="152" t="n"/>
      <c r="H155" s="153" t="n"/>
    </row>
    <row r="156" ht="15" customHeight="1" s="116">
      <c r="A156" s="174" t="inlineStr">
        <is>
          <t>1.5A</t>
        </is>
      </c>
      <c r="B156" s="175" t="inlineStr">
        <is>
          <t>PHASE 1.5: AI DATA ACCESS (Nov 2026)</t>
        </is>
      </c>
      <c r="C156" s="176" t="n">
        <v>46328</v>
      </c>
      <c r="D156" s="176" t="n">
        <v>46356</v>
      </c>
      <c r="E156" s="175" t="n"/>
      <c r="F156" s="177" t="n"/>
      <c r="G156" s="178" t="n"/>
      <c r="H156" s="179" t="n"/>
    </row>
    <row r="157" ht="15" customHeight="1" s="116">
      <c r="A157" s="142" t="inlineStr">
        <is>
          <t>1.5A.1</t>
        </is>
      </c>
      <c r="B157" s="143" t="inlineStr">
        <is>
          <t>query_pcs_data tool — top 20 query templates</t>
        </is>
      </c>
      <c r="C157" s="144" t="n">
        <v>46328</v>
      </c>
      <c r="D157" s="144" t="n">
        <v>46346</v>
      </c>
      <c r="E157" s="143" t="inlineStr">
        <is>
          <t>Mortazavi</t>
        </is>
      </c>
      <c r="F157" s="145" t="n">
        <v>40</v>
      </c>
      <c r="G157" s="146">
        <f>F157*278.3</f>
        <v/>
      </c>
      <c r="H157" s="147" t="n"/>
      <c r="I157" s="135" t="inlineStr">
        <is>
          <t>Not Started</t>
        </is>
      </c>
    </row>
    <row r="158" ht="15" customHeight="1" s="116">
      <c r="A158" s="142" t="inlineStr">
        <is>
          <t>1.5A.1</t>
        </is>
      </c>
      <c r="B158" s="143" t="inlineStr">
        <is>
          <t>query_pcs_data tool — top 20 query templates</t>
        </is>
      </c>
      <c r="C158" s="144" t="n">
        <v>46328</v>
      </c>
      <c r="D158" s="144" t="n">
        <v>46346</v>
      </c>
      <c r="E158" s="143" t="inlineStr">
        <is>
          <t>Cole</t>
        </is>
      </c>
      <c r="F158" s="145" t="n">
        <v>20</v>
      </c>
      <c r="G158" s="146">
        <f>F158*407.04</f>
        <v/>
      </c>
      <c r="H158" s="147" t="n"/>
      <c r="I158" s="135" t="inlineStr">
        <is>
          <t>Not Started</t>
        </is>
      </c>
    </row>
    <row r="159" ht="15" customHeight="1" s="116">
      <c r="A159" s="142" t="inlineStr">
        <is>
          <t>1.5A.1</t>
        </is>
      </c>
      <c r="B159" s="143" t="inlineStr">
        <is>
          <t>query_pcs_data tool — top 20 query templates</t>
        </is>
      </c>
      <c r="C159" s="144" t="n">
        <v>46328</v>
      </c>
      <c r="D159" s="144" t="n">
        <v>46346</v>
      </c>
      <c r="E159" s="143" t="inlineStr">
        <is>
          <t>Brown</t>
        </is>
      </c>
      <c r="F159" s="145" t="n">
        <v>20</v>
      </c>
      <c r="G159" s="146">
        <f>F159*217.8</f>
        <v/>
      </c>
      <c r="H159" s="147" t="n"/>
      <c r="I159" s="135" t="inlineStr">
        <is>
          <t>Not Started</t>
        </is>
      </c>
    </row>
    <row r="160" ht="15" customHeight="1" s="116">
      <c r="A160" s="142" t="inlineStr">
        <is>
          <t>1.5A.2</t>
        </is>
      </c>
      <c r="B160" s="143" t="inlineStr">
        <is>
          <t>Knowledge base admin, AI Invoice Intake rule expansion</t>
        </is>
      </c>
      <c r="C160" s="144" t="n">
        <v>46336</v>
      </c>
      <c r="D160" s="144" t="n">
        <v>46356</v>
      </c>
      <c r="E160" s="143" t="inlineStr">
        <is>
          <t>Mortazavi</t>
        </is>
      </c>
      <c r="F160" s="145" t="n">
        <v>28</v>
      </c>
      <c r="G160" s="146">
        <f>F160*278.3</f>
        <v/>
      </c>
      <c r="H160" s="147" t="inlineStr">
        <is>
          <t>Refine from MVP feedback</t>
        </is>
      </c>
      <c r="I160" s="135" t="inlineStr">
        <is>
          <t>Not Started</t>
        </is>
      </c>
    </row>
    <row r="161" ht="15" customHeight="1" s="116">
      <c r="A161" s="142" t="inlineStr">
        <is>
          <t>1.5A.2</t>
        </is>
      </c>
      <c r="B161" s="143" t="inlineStr">
        <is>
          <t>Knowledge base admin, AI Invoice Intake rule expansion</t>
        </is>
      </c>
      <c r="C161" s="144" t="n">
        <v>46336</v>
      </c>
      <c r="D161" s="144" t="n">
        <v>46356</v>
      </c>
      <c r="E161" s="143" t="inlineStr">
        <is>
          <t>Cole</t>
        </is>
      </c>
      <c r="F161" s="145" t="n">
        <v>12</v>
      </c>
      <c r="G161" s="146">
        <f>F161*407.04</f>
        <v/>
      </c>
      <c r="H161" s="147" t="n"/>
      <c r="I161" s="135" t="inlineStr">
        <is>
          <t>Not Started</t>
        </is>
      </c>
    </row>
    <row r="162" ht="15" customHeight="1" s="116">
      <c r="A162" s="142" t="inlineStr">
        <is>
          <t>1.5A.2</t>
        </is>
      </c>
      <c r="B162" s="143" t="inlineStr">
        <is>
          <t>Knowledge base admin, AI Invoice Intake rule expansion</t>
        </is>
      </c>
      <c r="C162" s="144" t="n">
        <v>46336</v>
      </c>
      <c r="D162" s="144" t="n">
        <v>46356</v>
      </c>
      <c r="E162" s="143" t="inlineStr">
        <is>
          <t>Brown</t>
        </is>
      </c>
      <c r="F162" s="145" t="n">
        <v>12</v>
      </c>
      <c r="G162" s="146">
        <f>F162*217.8</f>
        <v/>
      </c>
      <c r="H162" s="147" t="n"/>
      <c r="I162" s="135" t="inlineStr">
        <is>
          <t>Not Started</t>
        </is>
      </c>
    </row>
    <row r="163" ht="15" customHeight="1" s="116">
      <c r="A163" s="142" t="inlineStr">
        <is>
          <t>1.5A.3</t>
        </is>
      </c>
      <c r="B163" s="143" t="inlineStr">
        <is>
          <t>Phase 1.5 documentation &amp; testing</t>
        </is>
      </c>
      <c r="C163" s="144" t="n">
        <v>46346</v>
      </c>
      <c r="D163" s="144" t="n">
        <v>46356</v>
      </c>
      <c r="E163" s="143" t="inlineStr">
        <is>
          <t>Nipper</t>
        </is>
      </c>
      <c r="F163" s="145" t="n">
        <v>8</v>
      </c>
      <c r="G163" s="146">
        <f>F163*341.01</f>
        <v/>
      </c>
      <c r="H163" s="147" t="n"/>
      <c r="I163" s="135" t="inlineStr">
        <is>
          <t>Not Started</t>
        </is>
      </c>
    </row>
    <row r="164" ht="15" customHeight="1" s="116">
      <c r="A164" s="142" t="inlineStr">
        <is>
          <t>1.5A.3</t>
        </is>
      </c>
      <c r="B164" s="143" t="inlineStr">
        <is>
          <t>Phase 1.5 documentation &amp; testing</t>
        </is>
      </c>
      <c r="C164" s="144" t="n">
        <v>46346</v>
      </c>
      <c r="D164" s="144" t="n">
        <v>46356</v>
      </c>
      <c r="E164" s="143" t="inlineStr">
        <is>
          <t>Chang</t>
        </is>
      </c>
      <c r="F164" s="145" t="n">
        <v>12</v>
      </c>
      <c r="G164" s="146">
        <f>F164*102.89</f>
        <v/>
      </c>
      <c r="H164" s="147" t="n"/>
      <c r="I164" s="135" t="inlineStr">
        <is>
          <t>Not Started</t>
        </is>
      </c>
    </row>
    <row r="165" ht="15" customHeight="1" s="116">
      <c r="A165" s="142" t="inlineStr">
        <is>
          <t>1.5A.3</t>
        </is>
      </c>
      <c r="B165" s="143" t="inlineStr">
        <is>
          <t>Phase 1.5 documentation &amp; testing</t>
        </is>
      </c>
      <c r="C165" s="144" t="n">
        <v>46346</v>
      </c>
      <c r="D165" s="144" t="n">
        <v>46356</v>
      </c>
      <c r="E165" s="143" t="inlineStr">
        <is>
          <t>Lee</t>
        </is>
      </c>
      <c r="F165" s="145" t="n">
        <v>12</v>
      </c>
      <c r="G165" s="146">
        <f>F165*114.65</f>
        <v/>
      </c>
      <c r="H165" s="147" t="n"/>
      <c r="I165" s="135" t="inlineStr">
        <is>
          <t>Not Started</t>
        </is>
      </c>
    </row>
    <row r="166" ht="15" customHeight="1" s="116">
      <c r="A166" s="168" t="n"/>
      <c r="B166" s="169" t="inlineStr">
        <is>
          <t>Phase 1.5 Subtotal</t>
        </is>
      </c>
      <c r="C166" s="170" t="n"/>
      <c r="D166" s="170" t="n"/>
      <c r="E166" s="169" t="n"/>
      <c r="F166" s="171">
        <f>SUM(F157:F165)</f>
        <v/>
      </c>
      <c r="G166" s="172">
        <f>SUM(G157:G165)</f>
        <v/>
      </c>
      <c r="H166" s="173" t="n"/>
    </row>
    <row r="167" ht="15" customHeight="1" s="116">
      <c r="A167" s="148" t="inlineStr">
        <is>
          <t>M6</t>
        </is>
      </c>
      <c r="B167" s="149" t="inlineStr">
        <is>
          <t>★ AI Data Access Live</t>
        </is>
      </c>
      <c r="C167" s="150" t="n"/>
      <c r="D167" s="151" t="n">
        <v>46356</v>
      </c>
      <c r="E167" s="149" t="n"/>
      <c r="F167" s="150" t="n"/>
      <c r="G167" s="152" t="n"/>
      <c r="H167" s="153" t="n"/>
    </row>
    <row r="168" ht="15" customHeight="1" s="116">
      <c r="A168" s="174" t="inlineStr">
        <is>
          <t>2</t>
        </is>
      </c>
      <c r="B168" s="175" t="inlineStr">
        <is>
          <t>PHASE 2: EXTENDED MODULES (Dec 2026 – Feb 2027)</t>
        </is>
      </c>
      <c r="C168" s="176" t="n">
        <v>46357</v>
      </c>
      <c r="D168" s="176" t="n">
        <v>46437</v>
      </c>
      <c r="E168" s="175" t="n"/>
      <c r="F168" s="177" t="n"/>
      <c r="G168" s="178" t="n"/>
      <c r="H168" s="179" t="n"/>
    </row>
    <row r="169" ht="15" customHeight="1" s="116">
      <c r="A169" s="142" t="inlineStr">
        <is>
          <t>2.1</t>
        </is>
      </c>
      <c r="B169" s="143" t="inlineStr">
        <is>
          <t>Requisitions / procurement workflow (12-stage)</t>
        </is>
      </c>
      <c r="C169" s="144" t="n">
        <v>46357</v>
      </c>
      <c r="D169" s="144" t="n">
        <v>46396</v>
      </c>
      <c r="E169" s="143" t="inlineStr">
        <is>
          <t>Cole</t>
        </is>
      </c>
      <c r="F169" s="145" t="n">
        <v>32</v>
      </c>
      <c r="G169" s="146">
        <f>F169*407.04</f>
        <v/>
      </c>
      <c r="H169" s="147" t="n"/>
      <c r="I169" s="135" t="inlineStr">
        <is>
          <t>Not Started</t>
        </is>
      </c>
    </row>
    <row r="170" ht="15" customHeight="1" s="116">
      <c r="A170" s="142" t="inlineStr">
        <is>
          <t>2.1</t>
        </is>
      </c>
      <c r="B170" s="143" t="inlineStr">
        <is>
          <t>Requisitions / procurement workflow (12-stage)</t>
        </is>
      </c>
      <c r="C170" s="144" t="n">
        <v>46357</v>
      </c>
      <c r="D170" s="144" t="n">
        <v>46396</v>
      </c>
      <c r="E170" s="143" t="inlineStr">
        <is>
          <t>Brown</t>
        </is>
      </c>
      <c r="F170" s="145" t="n">
        <v>28</v>
      </c>
      <c r="G170" s="146">
        <f>F170*217.8</f>
        <v/>
      </c>
      <c r="H170" s="147" t="n"/>
      <c r="I170" s="135" t="inlineStr">
        <is>
          <t>Not Started</t>
        </is>
      </c>
    </row>
    <row r="171" ht="15" customHeight="1" s="116">
      <c r="A171" s="142" t="inlineStr">
        <is>
          <t>2.2</t>
        </is>
      </c>
      <c r="B171" s="143" t="inlineStr">
        <is>
          <t>Contract Equity, Insurance, Staffing modules</t>
        </is>
      </c>
      <c r="C171" s="144" t="n">
        <v>46371</v>
      </c>
      <c r="D171" s="144" t="n">
        <v>46410</v>
      </c>
      <c r="E171" s="143" t="inlineStr">
        <is>
          <t>Cole</t>
        </is>
      </c>
      <c r="F171" s="145" t="n">
        <v>28</v>
      </c>
      <c r="G171" s="146">
        <f>F171*407.04</f>
        <v/>
      </c>
      <c r="H171" s="147" t="n"/>
      <c r="I171" s="135" t="inlineStr">
        <is>
          <t>Not Started</t>
        </is>
      </c>
    </row>
    <row r="172" ht="15" customHeight="1" s="116">
      <c r="A172" s="142" t="inlineStr">
        <is>
          <t>2.2</t>
        </is>
      </c>
      <c r="B172" s="143" t="inlineStr">
        <is>
          <t>Contract Equity, Insurance, Staffing modules</t>
        </is>
      </c>
      <c r="C172" s="144" t="n">
        <v>46371</v>
      </c>
      <c r="D172" s="144" t="n">
        <v>46410</v>
      </c>
      <c r="E172" s="143" t="inlineStr">
        <is>
          <t>Brown</t>
        </is>
      </c>
      <c r="F172" s="145" t="n">
        <v>20</v>
      </c>
      <c r="G172" s="146">
        <f>F172*217.8</f>
        <v/>
      </c>
      <c r="H172" s="147" t="n"/>
      <c r="I172" s="135" t="inlineStr">
        <is>
          <t>Not Started</t>
        </is>
      </c>
    </row>
    <row r="173" ht="15" customHeight="1" s="116">
      <c r="A173" s="142" t="inlineStr">
        <is>
          <t>2.2</t>
        </is>
      </c>
      <c r="B173" s="143" t="inlineStr">
        <is>
          <t>Contract Equity, Insurance, Staffing modules</t>
        </is>
      </c>
      <c r="C173" s="144" t="n">
        <v>46371</v>
      </c>
      <c r="D173" s="144" t="n">
        <v>46410</v>
      </c>
      <c r="E173" s="143" t="inlineStr">
        <is>
          <t>Nassayan</t>
        </is>
      </c>
      <c r="F173" s="145" t="n">
        <v>20</v>
      </c>
      <c r="G173" s="146">
        <f>F173*260</f>
        <v/>
      </c>
      <c r="H173" s="147" t="inlineStr">
        <is>
          <t>DB tables</t>
        </is>
      </c>
      <c r="I173" s="135" t="inlineStr">
        <is>
          <t>Not Started</t>
        </is>
      </c>
    </row>
    <row r="174" ht="15" customHeight="1" s="116">
      <c r="A174" s="142" t="inlineStr">
        <is>
          <t>2.3</t>
        </is>
      </c>
      <c r="B174" s="143" t="inlineStr">
        <is>
          <t>PM Update module + .mpp import/export</t>
        </is>
      </c>
      <c r="C174" s="144" t="n">
        <v>46392</v>
      </c>
      <c r="D174" s="144" t="n">
        <v>46417</v>
      </c>
      <c r="E174" s="143" t="inlineStr">
        <is>
          <t>Cole</t>
        </is>
      </c>
      <c r="F174" s="145" t="n">
        <v>24</v>
      </c>
      <c r="G174" s="146">
        <f>F174*407.04</f>
        <v/>
      </c>
      <c r="H174" s="147" t="n"/>
      <c r="I174" s="135" t="inlineStr">
        <is>
          <t>Not Started</t>
        </is>
      </c>
    </row>
    <row r="175" ht="15" customHeight="1" s="116">
      <c r="A175" s="142" t="inlineStr">
        <is>
          <t>2.3</t>
        </is>
      </c>
      <c r="B175" s="143" t="inlineStr">
        <is>
          <t>PM Update module + .mpp import/export</t>
        </is>
      </c>
      <c r="C175" s="144" t="n">
        <v>46392</v>
      </c>
      <c r="D175" s="144" t="n">
        <v>46417</v>
      </c>
      <c r="E175" s="143" t="inlineStr">
        <is>
          <t>Brown</t>
        </is>
      </c>
      <c r="F175" s="145" t="n">
        <v>24</v>
      </c>
      <c r="G175" s="146">
        <f>F175*217.8</f>
        <v/>
      </c>
      <c r="H175" s="147" t="n"/>
      <c r="I175" s="135" t="inlineStr">
        <is>
          <t>Not Started</t>
        </is>
      </c>
    </row>
    <row r="176" ht="15" customHeight="1" s="116">
      <c r="A176" s="142" t="inlineStr">
        <is>
          <t>2.4</t>
        </is>
      </c>
      <c r="B176" s="143" t="inlineStr">
        <is>
          <t>Cloud document storage &amp; file server sync</t>
        </is>
      </c>
      <c r="C176" s="144" t="n">
        <v>46399</v>
      </c>
      <c r="D176" s="144" t="n">
        <v>46424</v>
      </c>
      <c r="E176" s="143" t="inlineStr">
        <is>
          <t>Cole</t>
        </is>
      </c>
      <c r="F176" s="145" t="n">
        <v>12</v>
      </c>
      <c r="G176" s="146">
        <f>F176*407.04</f>
        <v/>
      </c>
      <c r="H176" s="147" t="n"/>
      <c r="I176" s="135" t="inlineStr">
        <is>
          <t>Not Started</t>
        </is>
      </c>
    </row>
    <row r="177" ht="15" customHeight="1" s="116">
      <c r="A177" s="142" t="inlineStr">
        <is>
          <t>2.4</t>
        </is>
      </c>
      <c r="B177" s="143" t="inlineStr">
        <is>
          <t>Cloud document storage &amp; file server sync</t>
        </is>
      </c>
      <c r="C177" s="144" t="n">
        <v>46399</v>
      </c>
      <c r="D177" s="144" t="n">
        <v>46424</v>
      </c>
      <c r="E177" s="143" t="inlineStr">
        <is>
          <t>Brown</t>
        </is>
      </c>
      <c r="F177" s="145" t="n">
        <v>20</v>
      </c>
      <c r="G177" s="146">
        <f>F177*217.8</f>
        <v/>
      </c>
      <c r="H177" s="147" t="n"/>
      <c r="I177" s="135" t="inlineStr">
        <is>
          <t>Not Started</t>
        </is>
      </c>
    </row>
    <row r="178" ht="15" customHeight="1" s="116">
      <c r="A178" s="142" t="inlineStr">
        <is>
          <t>2.5</t>
        </is>
      </c>
      <c r="B178" s="143" t="inlineStr">
        <is>
          <t>AccuFund integration connector</t>
        </is>
      </c>
      <c r="C178" s="144" t="n">
        <v>46406</v>
      </c>
      <c r="D178" s="144" t="n">
        <v>46431</v>
      </c>
      <c r="E178" s="143" t="inlineStr">
        <is>
          <t>Nassayan</t>
        </is>
      </c>
      <c r="F178" s="145" t="n">
        <v>32</v>
      </c>
      <c r="G178" s="146">
        <f>F178*260</f>
        <v/>
      </c>
      <c r="H178" s="147" t="n"/>
      <c r="I178" s="135" t="inlineStr">
        <is>
          <t>Not Started</t>
        </is>
      </c>
    </row>
    <row r="179" ht="15" customHeight="1" s="116">
      <c r="A179" s="142" t="inlineStr">
        <is>
          <t>2.5</t>
        </is>
      </c>
      <c r="B179" s="143" t="inlineStr">
        <is>
          <t>AccuFund integration connector</t>
        </is>
      </c>
      <c r="C179" s="144" t="n">
        <v>46406</v>
      </c>
      <c r="D179" s="144" t="n">
        <v>46431</v>
      </c>
      <c r="E179" s="143" t="inlineStr">
        <is>
          <t>Cole</t>
        </is>
      </c>
      <c r="F179" s="145" t="n">
        <v>8</v>
      </c>
      <c r="G179" s="146">
        <f>F179*407.04</f>
        <v/>
      </c>
      <c r="H179" s="147" t="n"/>
      <c r="I179" s="135" t="inlineStr">
        <is>
          <t>Not Started</t>
        </is>
      </c>
    </row>
    <row r="180" ht="15" customHeight="1" s="116">
      <c r="A180" s="142" t="inlineStr">
        <is>
          <t>2.6</t>
        </is>
      </c>
      <c r="B180" s="143" t="inlineStr">
        <is>
          <t>Advanced reporting, Slack/Teams integration</t>
        </is>
      </c>
      <c r="C180" s="144" t="n">
        <v>46413</v>
      </c>
      <c r="D180" s="144" t="n">
        <v>46431</v>
      </c>
      <c r="E180" s="143" t="inlineStr">
        <is>
          <t>Brown</t>
        </is>
      </c>
      <c r="F180" s="145" t="n">
        <v>20</v>
      </c>
      <c r="G180" s="146">
        <f>F180*217.8</f>
        <v/>
      </c>
      <c r="H180" s="147" t="n"/>
      <c r="I180" s="135" t="inlineStr">
        <is>
          <t>Not Started</t>
        </is>
      </c>
    </row>
    <row r="181" ht="15" customHeight="1" s="116">
      <c r="A181" s="142" t="inlineStr">
        <is>
          <t>2.6</t>
        </is>
      </c>
      <c r="B181" s="143" t="inlineStr">
        <is>
          <t>Advanced reporting, Slack/Teams integration</t>
        </is>
      </c>
      <c r="C181" s="144" t="n">
        <v>46413</v>
      </c>
      <c r="D181" s="144" t="n">
        <v>46431</v>
      </c>
      <c r="E181" s="143" t="inlineStr">
        <is>
          <t>Cole</t>
        </is>
      </c>
      <c r="F181" s="145" t="n">
        <v>8</v>
      </c>
      <c r="G181" s="146">
        <f>F181*407.04</f>
        <v/>
      </c>
      <c r="H181" s="147" t="n"/>
      <c r="I181" s="135" t="inlineStr">
        <is>
          <t>Not Started</t>
        </is>
      </c>
    </row>
    <row r="182" ht="15" customHeight="1" s="116">
      <c r="A182" s="142" t="inlineStr">
        <is>
          <t>2.7</t>
        </is>
      </c>
      <c r="B182" s="143" t="inlineStr">
        <is>
          <t>AI voice I/O + expanded query templates (30-50)</t>
        </is>
      </c>
      <c r="C182" s="144" t="n">
        <v>46406</v>
      </c>
      <c r="D182" s="144" t="n">
        <v>46431</v>
      </c>
      <c r="E182" s="143" t="inlineStr">
        <is>
          <t>Mortazavi</t>
        </is>
      </c>
      <c r="F182" s="145" t="n">
        <v>40</v>
      </c>
      <c r="G182" s="146">
        <f>F182*278.3</f>
        <v/>
      </c>
      <c r="H182" s="147" t="n"/>
      <c r="I182" s="135" t="inlineStr">
        <is>
          <t>Not Started</t>
        </is>
      </c>
    </row>
    <row r="183" ht="15" customHeight="1" s="116">
      <c r="A183" s="142" t="inlineStr">
        <is>
          <t>2.7</t>
        </is>
      </c>
      <c r="B183" s="143" t="inlineStr">
        <is>
          <t>AI voice I/O + expanded query templates (30-50)</t>
        </is>
      </c>
      <c r="C183" s="144" t="n">
        <v>46406</v>
      </c>
      <c r="D183" s="144" t="n">
        <v>46431</v>
      </c>
      <c r="E183" s="143" t="inlineStr">
        <is>
          <t>Cole</t>
        </is>
      </c>
      <c r="F183" s="145" t="n">
        <v>8</v>
      </c>
      <c r="G183" s="146">
        <f>F183*407.04</f>
        <v/>
      </c>
      <c r="H183" s="147" t="n"/>
      <c r="I183" s="135" t="inlineStr">
        <is>
          <t>Not Started</t>
        </is>
      </c>
    </row>
    <row r="184" ht="15" customHeight="1" s="116">
      <c r="A184" s="142" t="inlineStr">
        <is>
          <t>2.7</t>
        </is>
      </c>
      <c r="B184" s="143" t="inlineStr">
        <is>
          <t>AI voice I/O + expanded query templates (30-50)</t>
        </is>
      </c>
      <c r="C184" s="144" t="n">
        <v>46406</v>
      </c>
      <c r="D184" s="144" t="n">
        <v>46431</v>
      </c>
      <c r="E184" s="143" t="inlineStr">
        <is>
          <t>Brown</t>
        </is>
      </c>
      <c r="F184" s="145" t="n">
        <v>12</v>
      </c>
      <c r="G184" s="146">
        <f>F184*217.8</f>
        <v/>
      </c>
      <c r="H184" s="147" t="n"/>
      <c r="I184" s="135" t="inlineStr">
        <is>
          <t>Not Started</t>
        </is>
      </c>
    </row>
    <row r="185" ht="15" customHeight="1" s="116">
      <c r="A185" s="136" t="inlineStr">
        <is>
          <t>2.8</t>
        </is>
      </c>
      <c r="B185" s="137" t="inlineStr">
        <is>
          <t>Tableau — Public-Facing Visualizations</t>
        </is>
      </c>
      <c r="C185" s="138" t="n">
        <v>46357</v>
      </c>
      <c r="D185" s="138" t="n">
        <v>46437</v>
      </c>
      <c r="E185" s="137" t="n"/>
      <c r="F185" s="139" t="n"/>
      <c r="G185" s="140" t="n"/>
      <c r="H185" s="141" t="n"/>
    </row>
    <row r="186" ht="15.75" customHeight="1" s="116">
      <c r="A186" s="142" t="inlineStr">
        <is>
          <t>2.8.1</t>
        </is>
      </c>
      <c r="B186" s="143" t="inlineStr">
        <is>
          <t>Public project funding status dashboards</t>
        </is>
      </c>
      <c r="C186" s="144" t="n">
        <v>46357</v>
      </c>
      <c r="D186" s="144" t="n">
        <v>46396</v>
      </c>
      <c r="E186" s="143" t="inlineStr">
        <is>
          <t>Nassayan</t>
        </is>
      </c>
      <c r="F186" s="145" t="n">
        <v>72</v>
      </c>
      <c r="G186" s="146">
        <f>F186*260</f>
        <v/>
      </c>
      <c r="H186" s="147" t="inlineStr">
        <is>
          <t>Commission/public access</t>
        </is>
      </c>
      <c r="I186" s="135" t="inlineStr">
        <is>
          <t>Not Started</t>
        </is>
      </c>
    </row>
    <row r="187" ht="15" customHeight="1" s="116">
      <c r="A187" s="142" t="inlineStr">
        <is>
          <t>2.8.2</t>
        </is>
      </c>
      <c r="B187" s="143" t="inlineStr">
        <is>
          <t>Program expenditure &amp; investment map visualizations</t>
        </is>
      </c>
      <c r="C187" s="144" t="n">
        <v>46392</v>
      </c>
      <c r="D187" s="144" t="n">
        <v>46417</v>
      </c>
      <c r="E187" s="143" t="inlineStr">
        <is>
          <t>Nassayan</t>
        </is>
      </c>
      <c r="F187" s="145" t="n">
        <v>68</v>
      </c>
      <c r="G187" s="146">
        <f>F187*260</f>
        <v/>
      </c>
      <c r="H187" s="147" t="inlineStr">
        <is>
          <t>Geographic/program views</t>
        </is>
      </c>
      <c r="I187" s="135" t="inlineStr">
        <is>
          <t>Not Started</t>
        </is>
      </c>
    </row>
    <row r="188" ht="15" customHeight="1" s="116">
      <c r="A188" s="142" t="inlineStr">
        <is>
          <t>2.8.3</t>
        </is>
      </c>
      <c r="B188" s="143" t="inlineStr">
        <is>
          <t>Tableau embed config, public access &amp; security</t>
        </is>
      </c>
      <c r="C188" s="144" t="n">
        <v>46413</v>
      </c>
      <c r="D188" s="144" t="n">
        <v>46431</v>
      </c>
      <c r="E188" s="143" t="inlineStr">
        <is>
          <t>Nassayan</t>
        </is>
      </c>
      <c r="F188" s="145" t="n">
        <v>48</v>
      </c>
      <c r="G188" s="146">
        <f>F188*260</f>
        <v/>
      </c>
      <c r="H188" s="147" t="n"/>
      <c r="I188" s="135" t="inlineStr">
        <is>
          <t>Not Started</t>
        </is>
      </c>
    </row>
    <row r="189" ht="15" customHeight="1" s="116">
      <c r="A189" s="142" t="inlineStr">
        <is>
          <t>2.9</t>
        </is>
      </c>
      <c r="B189" s="143" t="inlineStr">
        <is>
          <t>Phase 2 documentation</t>
        </is>
      </c>
      <c r="C189" s="144" t="n">
        <v>46421</v>
      </c>
      <c r="D189" s="144" t="n">
        <v>46437</v>
      </c>
      <c r="E189" s="143" t="inlineStr">
        <is>
          <t>Nipper</t>
        </is>
      </c>
      <c r="F189" s="145" t="n">
        <v>20</v>
      </c>
      <c r="G189" s="146">
        <f>F189*341.01</f>
        <v/>
      </c>
      <c r="H189" s="147" t="n"/>
      <c r="I189" s="135" t="inlineStr">
        <is>
          <t>Not Started</t>
        </is>
      </c>
    </row>
    <row r="190" ht="15" customHeight="1" s="116">
      <c r="A190" s="142" t="inlineStr">
        <is>
          <t>2.10</t>
        </is>
      </c>
      <c r="B190" s="180" t="n"/>
      <c r="C190" s="180" t="n"/>
      <c r="D190" s="180" t="n"/>
      <c r="E190" s="180" t="n"/>
      <c r="F190" s="180" t="n"/>
      <c r="G190" s="180" t="n"/>
      <c r="H190" s="181" t="n"/>
    </row>
    <row r="191" ht="34.5" customHeight="1" s="116">
      <c r="A191" s="142" t="inlineStr">
        <is>
          <t>2.10</t>
        </is>
      </c>
      <c r="B191" s="143" t="inlineStr">
        <is>
          <t>Phase 2 testing</t>
        </is>
      </c>
      <c r="C191" s="144" t="n">
        <v>46421</v>
      </c>
      <c r="D191" s="144" t="n">
        <v>46437</v>
      </c>
      <c r="E191" s="143" t="inlineStr">
        <is>
          <t>Lee</t>
        </is>
      </c>
      <c r="F191" s="145" t="n">
        <v>32</v>
      </c>
      <c r="G191" s="146">
        <f>F191*114.65</f>
        <v/>
      </c>
      <c r="H191" s="147" t="n"/>
      <c r="I191" s="135" t="inlineStr">
        <is>
          <t>Not Started</t>
        </is>
      </c>
    </row>
    <row r="192" ht="15" customHeight="1" s="116">
      <c r="A192" s="142" t="inlineStr">
        <is>
          <t>2.11</t>
        </is>
      </c>
      <c r="B192" s="143" t="inlineStr">
        <is>
          <t>Phase 2 compliance review</t>
        </is>
      </c>
      <c r="C192" s="144" t="n">
        <v>46428</v>
      </c>
      <c r="D192" s="144" t="n">
        <v>46437</v>
      </c>
      <c r="E192" s="143" t="inlineStr">
        <is>
          <t>Salzwedel</t>
        </is>
      </c>
      <c r="F192" s="145" t="n">
        <v>16</v>
      </c>
      <c r="G192" s="146">
        <f>F192*216.66</f>
        <v/>
      </c>
      <c r="H192" s="147" t="n"/>
      <c r="I192" s="135" t="inlineStr">
        <is>
          <t>Not Started</t>
        </is>
      </c>
    </row>
    <row r="193" ht="15" customHeight="1" s="116">
      <c r="A193" s="168" t="n"/>
      <c r="B193" s="169" t="inlineStr">
        <is>
          <t>Phase 2 Subtotal</t>
        </is>
      </c>
      <c r="C193" s="170" t="n"/>
      <c r="D193" s="170" t="n"/>
      <c r="E193" s="169" t="n"/>
      <c r="F193" s="171">
        <f>SUM(F169:F192)</f>
        <v/>
      </c>
      <c r="G193" s="172">
        <f>SUM(G169:G192)</f>
        <v/>
      </c>
      <c r="H193" s="173" t="n"/>
    </row>
    <row r="194" ht="15" customHeight="1" s="116">
      <c r="A194" s="148" t="inlineStr">
        <is>
          <t>M7</t>
        </is>
      </c>
      <c r="B194" s="149" t="inlineStr">
        <is>
          <t>★ Phase 2 Complete (extended modules + public Tableau)</t>
        </is>
      </c>
      <c r="C194" s="150" t="n"/>
      <c r="D194" s="151" t="n">
        <v>46437</v>
      </c>
      <c r="E194" s="149" t="n"/>
      <c r="F194" s="150" t="n"/>
      <c r="G194" s="152" t="n"/>
      <c r="H194" s="153" t="n"/>
    </row>
    <row r="195" ht="15" customHeight="1" s="116">
      <c r="A195" s="174" t="inlineStr">
        <is>
          <t>3</t>
        </is>
      </c>
      <c r="B195" s="175" t="inlineStr">
        <is>
          <t>PHASE 3: OPTIMIZATION (Mar – Apr 2027)</t>
        </is>
      </c>
      <c r="C195" s="176" t="n">
        <v>46447</v>
      </c>
      <c r="D195" s="176" t="n">
        <v>46507</v>
      </c>
      <c r="E195" s="175" t="n"/>
      <c r="F195" s="177" t="n"/>
      <c r="G195" s="178" t="n"/>
      <c r="H195" s="179" t="n"/>
    </row>
    <row r="196" ht="15" customHeight="1" s="116">
      <c r="A196" s="142" t="inlineStr">
        <is>
          <t>3.1</t>
        </is>
      </c>
      <c r="B196" s="143" t="inlineStr">
        <is>
          <t>Full AccuFund bidirectional sync</t>
        </is>
      </c>
      <c r="C196" s="144" t="n">
        <v>46447</v>
      </c>
      <c r="D196" s="144" t="n">
        <v>46466</v>
      </c>
      <c r="E196" s="143" t="inlineStr">
        <is>
          <t>Nassayan</t>
        </is>
      </c>
      <c r="F196" s="145" t="n">
        <v>40</v>
      </c>
      <c r="G196" s="146">
        <f>F196*260</f>
        <v/>
      </c>
      <c r="H196" s="147" t="n"/>
      <c r="I196" s="135" t="inlineStr">
        <is>
          <t>Not Started</t>
        </is>
      </c>
    </row>
    <row r="197" ht="15" customHeight="1" s="116">
      <c r="A197" s="142" t="inlineStr">
        <is>
          <t>3.1</t>
        </is>
      </c>
      <c r="B197" s="143" t="inlineStr">
        <is>
          <t>Full AccuFund bidirectional sync</t>
        </is>
      </c>
      <c r="C197" s="144" t="n">
        <v>46447</v>
      </c>
      <c r="D197" s="144" t="n">
        <v>46466</v>
      </c>
      <c r="E197" s="143" t="inlineStr">
        <is>
          <t>Cole</t>
        </is>
      </c>
      <c r="F197" s="145" t="n">
        <v>12</v>
      </c>
      <c r="G197" s="146">
        <f>F197*407.04</f>
        <v/>
      </c>
      <c r="H197" s="147" t="n"/>
      <c r="I197" s="135" t="inlineStr">
        <is>
          <t>Not Started</t>
        </is>
      </c>
    </row>
    <row r="198" ht="15" customHeight="1" s="116">
      <c r="A198" s="142" t="inlineStr">
        <is>
          <t>3.2</t>
        </is>
      </c>
      <c r="B198" s="143" t="inlineStr">
        <is>
          <t>Advanced workflows, bulk ops, external API</t>
        </is>
      </c>
      <c r="C198" s="144" t="n">
        <v>46454</v>
      </c>
      <c r="D198" s="144" t="n">
        <v>46480</v>
      </c>
      <c r="E198" s="143" t="inlineStr">
        <is>
          <t>Cole</t>
        </is>
      </c>
      <c r="F198" s="145" t="n">
        <v>28</v>
      </c>
      <c r="G198" s="146">
        <f>F198*407.04</f>
        <v/>
      </c>
      <c r="H198" s="147" t="n"/>
      <c r="I198" s="135" t="inlineStr">
        <is>
          <t>Not Started</t>
        </is>
      </c>
    </row>
    <row r="199" ht="15" customHeight="1" s="116">
      <c r="A199" s="142" t="inlineStr">
        <is>
          <t>3.2</t>
        </is>
      </c>
      <c r="B199" s="143" t="inlineStr">
        <is>
          <t>Advanced workflows, bulk ops, external API</t>
        </is>
      </c>
      <c r="C199" s="144" t="n">
        <v>46454</v>
      </c>
      <c r="D199" s="144" t="n">
        <v>46480</v>
      </c>
      <c r="E199" s="143" t="inlineStr">
        <is>
          <t>Brown</t>
        </is>
      </c>
      <c r="F199" s="145" t="n">
        <v>32</v>
      </c>
      <c r="G199" s="146">
        <f>F199*217.8</f>
        <v/>
      </c>
      <c r="H199" s="147" t="n"/>
      <c r="I199" s="135" t="inlineStr">
        <is>
          <t>Not Started</t>
        </is>
      </c>
    </row>
    <row r="200" ht="15" customHeight="1" s="116">
      <c r="A200" s="142" t="inlineStr">
        <is>
          <t>3.3</t>
        </is>
      </c>
      <c r="B200" s="143" t="inlineStr">
        <is>
          <t>Performance optimization &amp; load testing</t>
        </is>
      </c>
      <c r="C200" s="144" t="n">
        <v>46478</v>
      </c>
      <c r="D200" s="144" t="n">
        <v>46495</v>
      </c>
      <c r="E200" s="143" t="inlineStr">
        <is>
          <t>Cole</t>
        </is>
      </c>
      <c r="F200" s="145" t="n">
        <v>12</v>
      </c>
      <c r="G200" s="146">
        <f>F200*407.04</f>
        <v/>
      </c>
      <c r="H200" s="147" t="n"/>
      <c r="I200" s="135" t="inlineStr">
        <is>
          <t>Not Started</t>
        </is>
      </c>
    </row>
    <row r="201" ht="15" customHeight="1" s="116">
      <c r="A201" s="142" t="inlineStr">
        <is>
          <t>3.3</t>
        </is>
      </c>
      <c r="B201" s="143" t="inlineStr">
        <is>
          <t>Performance optimization &amp; load testing</t>
        </is>
      </c>
      <c r="C201" s="144" t="n">
        <v>46478</v>
      </c>
      <c r="D201" s="144" t="n">
        <v>46495</v>
      </c>
      <c r="E201" s="143" t="inlineStr">
        <is>
          <t>Brown</t>
        </is>
      </c>
      <c r="F201" s="145" t="n">
        <v>12</v>
      </c>
      <c r="G201" s="146">
        <f>F201*217.8</f>
        <v/>
      </c>
      <c r="H201" s="147" t="n"/>
      <c r="I201" s="135" t="inlineStr">
        <is>
          <t>Not Started</t>
        </is>
      </c>
    </row>
    <row r="202" ht="15" customHeight="1" s="116">
      <c r="A202" s="142" t="inlineStr">
        <is>
          <t>3.3</t>
        </is>
      </c>
      <c r="B202" s="143" t="inlineStr">
        <is>
          <t>Performance optimization &amp; load testing</t>
        </is>
      </c>
      <c r="C202" s="144" t="n">
        <v>46478</v>
      </c>
      <c r="D202" s="144" t="n">
        <v>46495</v>
      </c>
      <c r="E202" s="143" t="inlineStr">
        <is>
          <t>Nassayan</t>
        </is>
      </c>
      <c r="F202" s="145" t="n">
        <v>24</v>
      </c>
      <c r="G202" s="146">
        <f>F202*260</f>
        <v/>
      </c>
      <c r="H202" s="147" t="inlineStr">
        <is>
          <t>DB tuning</t>
        </is>
      </c>
      <c r="I202" s="135" t="inlineStr">
        <is>
          <t>Not Started</t>
        </is>
      </c>
    </row>
    <row r="203" ht="15" customHeight="1" s="116">
      <c r="A203" s="142" t="inlineStr">
        <is>
          <t>3.4</t>
        </is>
      </c>
      <c r="B203" s="143" t="inlineStr">
        <is>
          <t>Tableau polish &amp; public dashboard launch</t>
        </is>
      </c>
      <c r="C203" s="144" t="n">
        <v>46461</v>
      </c>
      <c r="D203" s="144" t="n">
        <v>46495</v>
      </c>
      <c r="E203" s="143" t="inlineStr">
        <is>
          <t>Nassayan</t>
        </is>
      </c>
      <c r="F203" s="145" t="n">
        <v>48</v>
      </c>
      <c r="G203" s="146">
        <f>F203*260</f>
        <v/>
      </c>
      <c r="H203" s="147" t="inlineStr">
        <is>
          <t>Final refinement</t>
        </is>
      </c>
      <c r="I203" s="135" t="inlineStr">
        <is>
          <t>Not Started</t>
        </is>
      </c>
    </row>
    <row r="204" ht="15" customHeight="1" s="116">
      <c r="A204" s="142" t="inlineStr">
        <is>
          <t>3.5</t>
        </is>
      </c>
      <c r="B204" s="143" t="inlineStr">
        <is>
          <t>Production cutover prep (legacy retirement)</t>
        </is>
      </c>
      <c r="C204" s="144" t="n">
        <v>46491</v>
      </c>
      <c r="D204" s="144" t="n">
        <v>46507</v>
      </c>
      <c r="E204" s="143" t="inlineStr">
        <is>
          <t>Cole</t>
        </is>
      </c>
      <c r="F204" s="145" t="n">
        <v>20</v>
      </c>
      <c r="G204" s="146">
        <f>F204*407.04</f>
        <v/>
      </c>
      <c r="H204" s="147" t="n"/>
      <c r="I204" s="135" t="inlineStr">
        <is>
          <t>Not Started</t>
        </is>
      </c>
    </row>
    <row r="205" ht="15" customHeight="1" s="116">
      <c r="A205" s="142" t="inlineStr">
        <is>
          <t>3.5</t>
        </is>
      </c>
      <c r="B205" s="143" t="inlineStr">
        <is>
          <t>Production cutover prep (legacy retirement)</t>
        </is>
      </c>
      <c r="C205" s="144" t="n">
        <v>46491</v>
      </c>
      <c r="D205" s="144" t="n">
        <v>46507</v>
      </c>
      <c r="E205" s="143" t="inlineStr">
        <is>
          <t>Nassayan</t>
        </is>
      </c>
      <c r="F205" s="145" t="n">
        <v>16</v>
      </c>
      <c r="G205" s="146">
        <f>F205*260</f>
        <v/>
      </c>
      <c r="H205" s="147" t="n"/>
      <c r="I205" s="135" t="inlineStr">
        <is>
          <t>Not Started</t>
        </is>
      </c>
    </row>
    <row r="206" ht="15" customHeight="1" s="116">
      <c r="A206" s="159" t="inlineStr">
        <is>
          <t>3.6</t>
        </is>
      </c>
      <c r="B206" s="160" t="inlineStr">
        <is>
          <t>AI Invoice Intake — production optimization</t>
        </is>
      </c>
      <c r="C206" s="161" t="n">
        <v>46484</v>
      </c>
      <c r="D206" s="161" t="n">
        <v>46502</v>
      </c>
      <c r="E206" s="160" t="inlineStr">
        <is>
          <t>Mortazavi</t>
        </is>
      </c>
      <c r="F206" s="162" t="n">
        <v>20</v>
      </c>
      <c r="G206" s="163">
        <f>F206*278.3</f>
        <v/>
      </c>
      <c r="H206" s="164" t="inlineStr">
        <is>
          <t>Accuracy metrics review</t>
        </is>
      </c>
      <c r="I206" s="135" t="inlineStr">
        <is>
          <t>Not Started</t>
        </is>
      </c>
    </row>
    <row r="207" ht="15" customHeight="1" s="116">
      <c r="A207" s="142" t="inlineStr">
        <is>
          <t>3.7</t>
        </is>
      </c>
      <c r="B207" s="143" t="inlineStr">
        <is>
          <t>Phase 3 documentation</t>
        </is>
      </c>
      <c r="C207" s="144" t="n">
        <v>46484</v>
      </c>
      <c r="D207" s="144" t="n">
        <v>46502</v>
      </c>
      <c r="E207" s="143" t="inlineStr">
        <is>
          <t>Nipper</t>
        </is>
      </c>
      <c r="F207" s="145" t="n">
        <v>20</v>
      </c>
      <c r="G207" s="146">
        <f>F207*341.01</f>
        <v/>
      </c>
      <c r="H207" s="147" t="inlineStr">
        <is>
          <t>Final guide updates</t>
        </is>
      </c>
      <c r="I207" s="135" t="inlineStr">
        <is>
          <t>Not Started</t>
        </is>
      </c>
    </row>
    <row r="208" ht="15" customHeight="1" s="116">
      <c r="A208" s="142" t="inlineStr">
        <is>
          <t>3.8</t>
        </is>
      </c>
      <c r="B208" s="143" t="inlineStr">
        <is>
          <t>Phase 3 testing</t>
        </is>
      </c>
      <c r="C208" s="144" t="n">
        <v>46484</v>
      </c>
      <c r="D208" s="144" t="n">
        <v>46502</v>
      </c>
      <c r="E208" s="143" t="inlineStr">
        <is>
          <t>Chang</t>
        </is>
      </c>
      <c r="F208" s="145" t="n">
        <v>20</v>
      </c>
      <c r="G208" s="146">
        <f>F208*102.89</f>
        <v/>
      </c>
      <c r="H208" s="147" t="n"/>
      <c r="I208" s="135" t="inlineStr">
        <is>
          <t>Not Started</t>
        </is>
      </c>
    </row>
    <row r="209" ht="15" customHeight="1" s="116">
      <c r="A209" s="142" t="inlineStr">
        <is>
          <t>3.8</t>
        </is>
      </c>
      <c r="B209" s="143" t="inlineStr">
        <is>
          <t>Phase 3 testing</t>
        </is>
      </c>
      <c r="C209" s="144" t="n">
        <v>46484</v>
      </c>
      <c r="D209" s="144" t="n">
        <v>46502</v>
      </c>
      <c r="E209" s="143" t="inlineStr">
        <is>
          <t>Lee</t>
        </is>
      </c>
      <c r="F209" s="145" t="n">
        <v>20</v>
      </c>
      <c r="G209" s="146">
        <f>F209*114.65</f>
        <v/>
      </c>
      <c r="H209" s="147" t="n"/>
      <c r="I209" s="135" t="inlineStr">
        <is>
          <t>Not Started</t>
        </is>
      </c>
    </row>
    <row r="210" ht="15" customHeight="1" s="116">
      <c r="A210" s="142" t="inlineStr">
        <is>
          <t>3.9</t>
        </is>
      </c>
      <c r="B210" s="143" t="inlineStr">
        <is>
          <t>Final compliance review &amp; signoff</t>
        </is>
      </c>
      <c r="C210" s="144" t="n">
        <v>46491</v>
      </c>
      <c r="D210" s="144" t="n">
        <v>46502</v>
      </c>
      <c r="E210" s="143" t="inlineStr">
        <is>
          <t>Salzwedel</t>
        </is>
      </c>
      <c r="F210" s="145" t="n">
        <v>16</v>
      </c>
      <c r="G210" s="146">
        <f>F210*216.66</f>
        <v/>
      </c>
      <c r="H210" s="147" t="n"/>
      <c r="I210" s="135" t="inlineStr">
        <is>
          <t>Not Started</t>
        </is>
      </c>
    </row>
    <row r="211" ht="15" customHeight="1" s="116">
      <c r="A211" s="168" t="n"/>
      <c r="B211" s="169" t="inlineStr">
        <is>
          <t>Phase 3 Subtotal</t>
        </is>
      </c>
      <c r="C211" s="170" t="n"/>
      <c r="D211" s="170" t="n"/>
      <c r="E211" s="169" t="n"/>
      <c r="F211" s="171">
        <f>SUM(F196:F210)</f>
        <v/>
      </c>
      <c r="G211" s="172">
        <f>SUM(G196:G210)</f>
        <v/>
      </c>
      <c r="H211" s="173" t="n"/>
    </row>
    <row r="212" ht="15" customHeight="1" s="116">
      <c r="A212" s="148" t="inlineStr">
        <is>
          <t>M8</t>
        </is>
      </c>
      <c r="B212" s="149" t="inlineStr">
        <is>
          <t>★ Production Cutover (legacy retired)</t>
        </is>
      </c>
      <c r="C212" s="150" t="n"/>
      <c r="D212" s="151" t="n">
        <v>46507</v>
      </c>
      <c r="E212" s="149" t="n"/>
      <c r="F212" s="150" t="n"/>
      <c r="G212" s="152" t="n"/>
      <c r="H212" s="153" t="n"/>
    </row>
    <row r="213" ht="15" customHeight="1" s="116">
      <c r="A213" s="174" t="inlineStr">
        <is>
          <t>PM</t>
        </is>
      </c>
      <c r="B213" s="175" t="inlineStr">
        <is>
          <t>PROJECT MANAGEMENT (ongoing)</t>
        </is>
      </c>
      <c r="C213" s="176" t="n">
        <v>46143</v>
      </c>
      <c r="D213" s="176" t="n">
        <v>46507</v>
      </c>
      <c r="E213" s="175" t="n"/>
      <c r="F213" s="177" t="n"/>
      <c r="G213" s="178" t="n"/>
      <c r="H213" s="179" t="n"/>
    </row>
    <row r="214" ht="15" customHeight="1" s="116">
      <c r="A214" s="142" t="inlineStr">
        <is>
          <t>PM.1</t>
        </is>
      </c>
      <c r="B214" s="143" t="inlineStr">
        <is>
          <t>Project oversight &amp; stakeholder coordination</t>
        </is>
      </c>
      <c r="C214" s="144" t="n">
        <v>46143</v>
      </c>
      <c r="D214" s="144" t="n">
        <v>46507</v>
      </c>
      <c r="E214" s="143" t="inlineStr">
        <is>
          <t>Cole</t>
        </is>
      </c>
      <c r="F214" s="145" t="n">
        <v>68</v>
      </c>
      <c r="G214" s="146">
        <f>F214*407.04</f>
        <v/>
      </c>
      <c r="H214" s="147" t="inlineStr">
        <is>
          <t>~5 hrs./month × 12</t>
        </is>
      </c>
      <c r="I214" s="135" t="inlineStr">
        <is>
          <t>Not Started</t>
        </is>
      </c>
    </row>
    <row r="215" ht="15" customHeight="1" s="116">
      <c r="A215" s="142" t="inlineStr">
        <is>
          <t>PM.2</t>
        </is>
      </c>
      <c r="B215" s="143" t="inlineStr">
        <is>
          <t>Technical architecture reviews</t>
        </is>
      </c>
      <c r="C215" s="144" t="n">
        <v>46143</v>
      </c>
      <c r="D215" s="144" t="n">
        <v>46507</v>
      </c>
      <c r="E215" s="143" t="inlineStr">
        <is>
          <t>Mortazavi</t>
        </is>
      </c>
      <c r="F215" s="145" t="n">
        <v>56</v>
      </c>
      <c r="G215" s="146">
        <f>F215*278.3</f>
        <v/>
      </c>
      <c r="H215" s="147" t="inlineStr">
        <is>
          <t>~3 hrs./month × 12</t>
        </is>
      </c>
      <c r="I215" s="135" t="inlineStr">
        <is>
          <t>Not Started</t>
        </is>
      </c>
    </row>
    <row r="216" ht="15" customHeight="1" s="116">
      <c r="A216" s="142" t="inlineStr">
        <is>
          <t>PM.3</t>
        </is>
      </c>
      <c r="B216" s="143" t="inlineStr">
        <is>
          <t>ACTC coordination meetings</t>
        </is>
      </c>
      <c r="C216" s="144" t="n">
        <v>46143</v>
      </c>
      <c r="D216" s="144" t="n">
        <v>46507</v>
      </c>
      <c r="E216" s="143" t="inlineStr">
        <is>
          <t>Salzwedel</t>
        </is>
      </c>
      <c r="F216" s="145" t="n">
        <v>16</v>
      </c>
      <c r="G216" s="146">
        <f>F216*216.66</f>
        <v/>
      </c>
      <c r="H216" s="147" t="inlineStr">
        <is>
          <t>~1.3 hrs./month × 12</t>
        </is>
      </c>
      <c r="I216" s="135" t="inlineStr">
        <is>
          <t>Not Started</t>
        </is>
      </c>
    </row>
    <row r="217" ht="15" customHeight="1" s="116">
      <c r="A217" s="142" t="inlineStr">
        <is>
          <t>PM.4</t>
        </is>
      </c>
      <c r="B217" s="143" t="inlineStr">
        <is>
          <t>Risk management &amp; change control</t>
        </is>
      </c>
      <c r="C217" s="144" t="n">
        <v>46143</v>
      </c>
      <c r="D217" s="144" t="n">
        <v>46507</v>
      </c>
      <c r="E217" s="143" t="inlineStr">
        <is>
          <t>Nipper</t>
        </is>
      </c>
      <c r="F217" s="145" t="n">
        <v>20</v>
      </c>
      <c r="G217" s="146">
        <f>F217*341.01</f>
        <v/>
      </c>
      <c r="H217" s="147" t="inlineStr">
        <is>
          <t>~1.7 hrs./month × 12</t>
        </is>
      </c>
      <c r="I217" s="135" t="inlineStr">
        <is>
          <t>Not Started</t>
        </is>
      </c>
    </row>
    <row r="218" ht="15" customHeight="1" s="116">
      <c r="A218" s="182" t="n"/>
      <c r="B218" s="183" t="inlineStr">
        <is>
          <t>Project Management Subtotal</t>
        </is>
      </c>
      <c r="C218" s="184" t="n"/>
      <c r="D218" s="184" t="n"/>
      <c r="E218" s="183" t="n"/>
      <c r="F218" s="185">
        <f>SUM(F214:F217)</f>
        <v/>
      </c>
      <c r="G218" s="186">
        <f>SUM(G214:G217)</f>
        <v/>
      </c>
      <c r="H218" s="187" t="n"/>
    </row>
    <row r="219" ht="15" customHeight="1" s="116"/>
    <row r="220" ht="15" customHeight="1" s="116">
      <c r="A220" s="188" t="n"/>
      <c r="B220" s="189" t="inlineStr">
        <is>
          <t>GRAND TOTAL</t>
        </is>
      </c>
      <c r="C220" s="189" t="n"/>
      <c r="D220" s="189" t="n"/>
      <c r="E220" s="189" t="n"/>
      <c r="F220" s="190">
        <f>F154+F166+F193+F211+F218</f>
        <v/>
      </c>
      <c r="G220" s="191">
        <f>G154+G166+G193+G211+G218</f>
        <v/>
      </c>
      <c r="H220" s="189" t="n"/>
    </row>
    <row r="223" ht="15" customHeight="1" s="116">
      <c r="A223" s="192" t="inlineStr">
        <is>
          <t>RESOURCE SUMMARY</t>
        </is>
      </c>
    </row>
    <row r="224" ht="15" customHeight="1" s="116">
      <c r="A224" s="193" t="inlineStr">
        <is>
          <t>Resource</t>
        </is>
      </c>
      <c r="B224" s="193" t="inlineStr">
        <is>
          <t>Firm</t>
        </is>
      </c>
      <c r="C224" s="193" t="inlineStr">
        <is>
          <t>B7 Classification</t>
        </is>
      </c>
      <c r="D224" s="193" t="inlineStr">
        <is>
          <t>B7 Rate (2026)</t>
        </is>
      </c>
      <c r="E224" s="193" t="inlineStr">
        <is>
          <t>Hours</t>
        </is>
      </c>
      <c r="F224" s="193" t="inlineStr">
        <is>
          <t>Cost</t>
        </is>
      </c>
      <c r="G224" s="193" t="inlineStr">
        <is>
          <t>Role on PCS</t>
        </is>
      </c>
      <c r="H224" s="193" t="n"/>
    </row>
    <row r="225" ht="15" customHeight="1" s="116">
      <c r="A225" s="194" t="inlineStr">
        <is>
          <t>Chris Cole</t>
        </is>
      </c>
      <c r="B225" s="154" t="inlineStr">
        <is>
          <t>CME (Prime)</t>
        </is>
      </c>
      <c r="C225" s="154" t="inlineStr">
        <is>
          <t>Project Manager/President/CEO</t>
        </is>
      </c>
      <c r="D225" s="195" t="n">
        <v>407.04</v>
      </c>
      <c r="E225" s="196">
        <f>SUMPRODUCT((E7:E217="Cole")*F7:F217)</f>
        <v/>
      </c>
      <c r="F225" s="197">
        <f>E225*D225</f>
        <v/>
      </c>
      <c r="G225" s="154" t="inlineStr">
        <is>
          <t>Project Lead — leads every module</t>
        </is>
      </c>
      <c r="H225" s="158" t="n"/>
    </row>
    <row r="226" ht="15" customHeight="1" s="116">
      <c r="A226" s="194" t="inlineStr">
        <is>
          <t>Ali Mortazavi</t>
        </is>
      </c>
      <c r="B226" s="154" t="inlineStr">
        <is>
          <t>DAVTEQ</t>
        </is>
      </c>
      <c r="C226" s="154" t="inlineStr">
        <is>
          <t>Principal &amp; Project Manager</t>
        </is>
      </c>
      <c r="D226" s="195" t="n">
        <v>278.3</v>
      </c>
      <c r="E226" s="196">
        <f>SUMPRODUCT((E7:E217="Mortazavi")*F7:F217)</f>
        <v/>
      </c>
      <c r="F226" s="197">
        <f>E226*D226</f>
        <v/>
      </c>
      <c r="G226" s="154" t="inlineStr">
        <is>
          <t>AI Architect</t>
        </is>
      </c>
      <c r="H226" s="158" t="n"/>
    </row>
    <row r="227" ht="15" customHeight="1" s="116">
      <c r="A227" s="194" t="inlineStr">
        <is>
          <t>Jason Brown</t>
        </is>
      </c>
      <c r="B227" s="154" t="inlineStr">
        <is>
          <t>DAVTEQ</t>
        </is>
      </c>
      <c r="C227" s="154" t="inlineStr">
        <is>
          <t>Sr. Full Stack Software &amp; AI Engineer</t>
        </is>
      </c>
      <c r="D227" s="195" t="n">
        <v>217.8</v>
      </c>
      <c r="E227" s="196">
        <f>SUMPRODUCT((E7:E217="Brown")*F7:F217)</f>
        <v/>
      </c>
      <c r="F227" s="197">
        <f>E227*D227</f>
        <v/>
      </c>
      <c r="G227" s="154" t="inlineStr">
        <is>
          <t>Developer (supporting role)</t>
        </is>
      </c>
      <c r="H227" s="158" t="n"/>
    </row>
    <row r="228" ht="15" customHeight="1" s="116">
      <c r="A228" s="194" t="inlineStr">
        <is>
          <t>Tom Nassayan</t>
        </is>
      </c>
      <c r="B228" s="154" t="inlineStr">
        <is>
          <t>SQL &amp; Sightline Solutions</t>
        </is>
      </c>
      <c r="C228" s="154" t="inlineStr">
        <is>
          <t>President/CEO</t>
        </is>
      </c>
      <c r="D228" s="195" t="n">
        <v>260</v>
      </c>
      <c r="E228" s="196">
        <f>SUMPRODUCT((E7:E217="Nassayan")*F7:F217)</f>
        <v/>
      </c>
      <c r="F228" s="197">
        <f>E228*D228</f>
        <v/>
      </c>
      <c r="G228" s="154" t="inlineStr">
        <is>
          <t>Database &amp; Tableau</t>
        </is>
      </c>
    </row>
    <row r="229" ht="15" customHeight="1" s="116">
      <c r="A229" s="194" t="inlineStr">
        <is>
          <t>Mark Nipper</t>
        </is>
      </c>
      <c r="B229" s="154" t="inlineStr">
        <is>
          <t>CME (Prime)</t>
        </is>
      </c>
      <c r="C229" s="154" t="inlineStr">
        <is>
          <t>PC Specialist</t>
        </is>
      </c>
      <c r="D229" s="195" t="n">
        <v>341.01</v>
      </c>
      <c r="E229" s="196">
        <f>SUMPRODUCT((E7:E217="Nipper")*F7:F217)</f>
        <v/>
      </c>
      <c r="F229" s="197">
        <f>E229*D229</f>
        <v/>
      </c>
      <c r="G229" s="154" t="inlineStr">
        <is>
          <t>Documentation Lead (ALL docs)</t>
        </is>
      </c>
      <c r="H229" s="158" t="n"/>
    </row>
    <row r="230" ht="15" customHeight="1" s="116">
      <c r="A230" s="194" t="inlineStr">
        <is>
          <t>Steven Salzwedel</t>
        </is>
      </c>
      <c r="B230" s="154" t="inlineStr">
        <is>
          <t>ACUMEN</t>
        </is>
      </c>
      <c r="C230" s="154" t="inlineStr">
        <is>
          <t>PC Advisor</t>
        </is>
      </c>
      <c r="D230" s="195" t="n">
        <v>216.66</v>
      </c>
      <c r="E230" s="196">
        <f>SUMPRODUCT((E7:E217="Salzwedel")*F7:F217)</f>
        <v/>
      </c>
      <c r="F230" s="197">
        <f>E230*D230</f>
        <v/>
      </c>
      <c r="G230" s="154" t="inlineStr">
        <is>
          <t>ACTC Compliance &amp; Standards</t>
        </is>
      </c>
      <c r="H230" s="158" t="n"/>
    </row>
    <row r="231" ht="15" customHeight="1" s="116">
      <c r="A231" s="194" t="inlineStr">
        <is>
          <t>Eric Chang</t>
        </is>
      </c>
      <c r="B231" s="154" t="inlineStr">
        <is>
          <t>Tricertus LLC</t>
        </is>
      </c>
      <c r="C231" s="154" t="inlineStr">
        <is>
          <t>Programming PC/Support</t>
        </is>
      </c>
      <c r="D231" s="195" t="n">
        <v>102.89</v>
      </c>
      <c r="E231" s="196">
        <f>SUMPRODUCT((E7:E217="Chang")*F7:F217)</f>
        <v/>
      </c>
      <c r="F231" s="197">
        <f>E231*D231</f>
        <v/>
      </c>
      <c r="G231" s="154" t="inlineStr">
        <is>
          <t>Testing (replaces Pearl Chu)</t>
        </is>
      </c>
      <c r="H231" s="158" t="n"/>
    </row>
    <row r="232" ht="15" customHeight="1" s="116">
      <c r="A232" s="194" t="inlineStr">
        <is>
          <t>Hanuel Lee</t>
        </is>
      </c>
      <c r="B232" s="154" t="inlineStr">
        <is>
          <t>Tricertus LLC</t>
        </is>
      </c>
      <c r="C232" s="154" t="inlineStr">
        <is>
          <t>PC Administrator</t>
        </is>
      </c>
      <c r="D232" s="195" t="n">
        <v>114.65</v>
      </c>
      <c r="E232" s="196">
        <f>SUMPRODUCT((E7:E217="Lee")*F7:F217)</f>
        <v/>
      </c>
      <c r="F232" s="197">
        <f>E232*D232</f>
        <v/>
      </c>
      <c r="G232" s="154" t="inlineStr">
        <is>
          <t>Testing (replaces Kristy Ou)</t>
        </is>
      </c>
      <c r="H232" s="158" t="n"/>
    </row>
    <row r="233" ht="15" customHeight="1" s="116">
      <c r="A233" s="198" t="inlineStr">
        <is>
          <t>TOTAL</t>
        </is>
      </c>
      <c r="B233" s="199" t="n"/>
      <c r="C233" s="199" t="n"/>
      <c r="D233" s="199" t="n"/>
      <c r="E233" s="200">
        <f>SUM(E225:E232)</f>
        <v/>
      </c>
      <c r="F233" s="201">
        <f>SUM(F225:F232)</f>
        <v/>
      </c>
      <c r="G233" s="199" t="n"/>
      <c r="H233" s="189" t="n"/>
    </row>
    <row r="236" ht="15" customHeight="1" s="116">
      <c r="A236" s="192" t="inlineStr">
        <is>
          <t>MILESTONE SUMMARY</t>
        </is>
      </c>
    </row>
    <row r="237" ht="15" customHeight="1" s="116">
      <c r="A237" s="202" t="inlineStr">
        <is>
          <t>#</t>
        </is>
      </c>
      <c r="B237" s="203" t="inlineStr">
        <is>
          <t>Milestone</t>
        </is>
      </c>
      <c r="E237" s="203" t="inlineStr">
        <is>
          <t>Target Date</t>
        </is>
      </c>
      <c r="F237" s="203" t="n"/>
      <c r="G237" s="203" t="n"/>
      <c r="H237" s="203" t="n"/>
    </row>
    <row r="238" ht="15" customHeight="1" s="116">
      <c r="A238" s="204" t="inlineStr">
        <is>
          <t>M1</t>
        </is>
      </c>
      <c r="B238" s="205" t="inlineStr">
        <is>
          <t>Infrastructure Complete (Auth, RLS, Workflow Engine)</t>
        </is>
      </c>
      <c r="C238" s="206" t="n"/>
      <c r="D238" s="206" t="n"/>
      <c r="E238" s="207" t="n">
        <v>46200</v>
      </c>
      <c r="F238" s="206" t="n"/>
      <c r="G238" s="206" t="n"/>
      <c r="H238" s="206" t="n"/>
    </row>
    <row r="239" ht="15" customHeight="1" s="116">
      <c r="A239" s="204" t="inlineStr">
        <is>
          <t>M2</t>
        </is>
      </c>
      <c r="B239" s="205" t="inlineStr">
        <is>
          <t>Core Modules Complete (Programming, Projects, Contracts)</t>
        </is>
      </c>
      <c r="C239" s="206" t="n"/>
      <c r="D239" s="206" t="n"/>
      <c r="E239" s="207" t="n">
        <v>46283</v>
      </c>
      <c r="F239" s="206" t="n"/>
      <c r="G239" s="206" t="n"/>
      <c r="H239" s="206" t="n"/>
    </row>
    <row r="240" ht="15" customHeight="1" s="116">
      <c r="A240" s="204" t="inlineStr">
        <is>
          <t>M3</t>
        </is>
      </c>
      <c r="B240" s="205" t="inlineStr">
        <is>
          <t>All Core Modules Complete (Invoice + Funding workflows)</t>
        </is>
      </c>
      <c r="C240" s="206" t="n"/>
      <c r="D240" s="206" t="n"/>
      <c r="E240" s="207" t="n">
        <v>46311</v>
      </c>
      <c r="F240" s="206" t="n"/>
      <c r="G240" s="206" t="n"/>
      <c r="H240" s="206" t="n"/>
    </row>
    <row r="241" ht="23.25" customHeight="1" s="116">
      <c r="A241" s="204" t="inlineStr">
        <is>
          <t>M3.5</t>
        </is>
      </c>
      <c r="B241" s="205" t="inlineStr">
        <is>
          <t>Data Cleanup Complete — gates Migration &amp; Dashboard Finalization</t>
        </is>
      </c>
      <c r="C241" s="206" t="n"/>
      <c r="D241" s="206" t="n"/>
      <c r="E241" s="207" t="n">
        <v>46311</v>
      </c>
      <c r="F241" s="206" t="n"/>
      <c r="G241" s="206" t="n"/>
      <c r="H241" s="206" t="n"/>
    </row>
    <row r="242" ht="15" customHeight="1" s="116">
      <c r="A242" s="204" t="inlineStr">
        <is>
          <t>M4</t>
        </is>
      </c>
      <c r="B242" s="205" t="inlineStr">
        <is>
          <t>Migration Validated (Dry Run 2 passes)</t>
        </is>
      </c>
      <c r="C242" s="206" t="n"/>
      <c r="D242" s="206" t="n"/>
      <c r="E242" s="207" t="n">
        <v>46318</v>
      </c>
      <c r="F242" s="206" t="n"/>
      <c r="G242" s="206" t="n"/>
      <c r="H242" s="206" t="n"/>
    </row>
    <row r="243" ht="15" customHeight="1" s="116">
      <c r="A243" s="204" t="inlineStr">
        <is>
          <t>M5</t>
        </is>
      </c>
      <c r="B243" s="205" t="inlineStr">
        <is>
          <t>Phase 1 MVP Go-Live (parallel operation begins)</t>
        </is>
      </c>
      <c r="C243" s="206" t="n"/>
      <c r="D243" s="206" t="n"/>
      <c r="E243" s="207" t="n">
        <v>46325</v>
      </c>
      <c r="F243" s="206" t="n"/>
      <c r="G243" s="206" t="n"/>
      <c r="H243" s="206" t="n"/>
    </row>
    <row r="244" ht="15" customHeight="1" s="116">
      <c r="A244" s="204" t="inlineStr">
        <is>
          <t>M6</t>
        </is>
      </c>
      <c r="B244" s="205" t="inlineStr">
        <is>
          <t>AI Data Access Live</t>
        </is>
      </c>
      <c r="C244" s="206" t="n"/>
      <c r="D244" s="206" t="n"/>
      <c r="E244" s="207" t="n">
        <v>46356</v>
      </c>
      <c r="F244" s="206" t="n"/>
      <c r="G244" s="206" t="n"/>
      <c r="H244" s="206" t="n"/>
    </row>
    <row r="245" ht="15" customHeight="1" s="116">
      <c r="A245" s="204" t="inlineStr">
        <is>
          <t>M7</t>
        </is>
      </c>
      <c r="B245" s="205" t="inlineStr">
        <is>
          <t>Phase 2 Complete (extended modules + public Tableau)</t>
        </is>
      </c>
      <c r="C245" s="206" t="n"/>
      <c r="D245" s="206" t="n"/>
      <c r="E245" s="207" t="n">
        <v>46437</v>
      </c>
      <c r="F245" s="206" t="n"/>
      <c r="G245" s="206" t="n"/>
      <c r="H245" s="206" t="n"/>
    </row>
    <row r="246" ht="15" customHeight="1" s="116">
      <c r="A246" s="204" t="inlineStr">
        <is>
          <t>M8</t>
        </is>
      </c>
      <c r="B246" s="205" t="inlineStr">
        <is>
          <t>Production Cutover (legacy retired)</t>
        </is>
      </c>
      <c r="C246" s="206" t="n"/>
      <c r="D246" s="206" t="n"/>
      <c r="E246" s="207" t="n">
        <v>46507</v>
      </c>
      <c r="F246" s="206" t="n"/>
      <c r="G246" s="206" t="n"/>
      <c r="H246" s="206" t="n"/>
    </row>
    <row r="249" ht="15" customHeight="1" s="116">
      <c r="A249" s="192" t="inlineStr">
        <is>
          <t>VERSION HISTORY</t>
        </is>
      </c>
    </row>
    <row r="250" ht="15" customHeight="1" s="116">
      <c r="A250" s="208" t="inlineStr">
        <is>
          <t>v8 (Apr 19, 2026): Added Status column (I). All 181 task rows set to Not Started — the contract has not yet begun (kickoff May 1, 2026). Statuses: Not Started, In Development, Submitted for Review, Accepted, Rejected, Deferred. Only CME Admin can set Accepted, triggered by recording an ACTC acceptance.</t>
        </is>
      </c>
    </row>
    <row r="251" ht="15" customHeight="1" s="116">
      <c r="A251" s="208" t="inlineStr">
        <is>
          <t>v8 (Apr 19, 2026): Clarified that the Claude Code prototype at actc-pcs.vercel.app is pre-contract CME investment for de-risking — not a workplan deliverable. Does not consume contracted hours. When contract begins May 1, the prototype is a starting reference only; all 4,912 hours remain to be performed.</t>
        </is>
      </c>
    </row>
    <row r="252" ht="15" customHeight="1" s="116">
      <c r="A252" s="208" t="inlineStr">
        <is>
          <t>v8 (Apr 19, 2026): Rate escalation policy — 2026 rates apply to 2026 work; 2027 work escalates 3% per calendar year (Jan 1). Baseline cost $1,356,256 at 2026 rates; actual invoiced costs use escalation via CME Client Portal date-effective rate engine.</t>
        </is>
      </c>
    </row>
    <row r="253" ht="15" customHeight="1" s="116">
      <c r="A253" s="209" t="inlineStr">
        <is>
          <t>v7 (Apr 16, 2026): Added Section 1.0 Database Learning &amp; Restructuring (160 hrs: Cole 64, Nassayan 96) — delivers data dictionary that feeds schema design (1.1.1) and cleanup plan (1.11). Starts at kickoff (May 1, 2026).</t>
        </is>
      </c>
    </row>
    <row r="254" ht="15" customHeight="1" s="116">
      <c r="A254" s="209" t="inlineStr">
        <is>
          <t>v7 (Apr 16, 2026): Added Section 1.11 PCS Data Review &amp; Cleanup (400 hrs: Nipper 120, Salzwedel 60, Chang 80, Lee 80, Cole 40, Nassayan 20). Parallel to module builds, Jun 15 – Oct 16, 2026. New M3.5 milestone gates Migration Dry Run 2 and Dashboard Finalization.</t>
        </is>
      </c>
    </row>
    <row r="255" ht="15" customHeight="1" s="116">
      <c r="A255" s="209" t="inlineStr">
        <is>
          <t>v7 (Apr 16, 2026): Restructured Tableau 1.9 into Build→Finalize dependency chain. 1.9a Build = BigQuery views + core dashboards (existing hrs). 1.9b Finalize = post-M3.5 validation (Nassayan 40 new) + Susan's Reporting Template dashboard (Nassayan 40 + Cole 8 new). Docs relabeled 1.9.5.</t>
        </is>
      </c>
    </row>
    <row r="256" ht="15" customHeight="1" s="116">
      <c r="A256" s="209" t="inlineStr">
        <is>
          <t>v7 (Apr 16, 2026): Updated milestone list to 9 gates (M1, M2, M3, M3.5, M4, M5, M6, M7, M8). Extended Phase 1 end date from Oct 30 to Nov 6, 2026 to cover dashboard finalization. Added +604 hrs / +$160,488 total to project (v6: 4,308 hrs / $1,195,768 → v7: 4,912 hrs / $1,356,256).</t>
        </is>
      </c>
    </row>
    <row r="257" ht="15" customHeight="1" s="116">
      <c r="A257" s="209" t="inlineStr">
        <is>
          <t>v7 (Apr 16, 2026): Cleanup of v6 artifacts — filled missing dates on module testing rows (1.2.5, 1.3.4, 1.4.7, 1.6.4); deleted empty merged PM.3 row and renumbered PM.4→PM.3, PM.5→PM.4.</t>
        </is>
      </c>
    </row>
    <row r="258" ht="15" customHeight="1" s="116">
      <c r="A258" s="209" t="inlineStr">
        <is>
          <t>v6 (Apr 16, 2026): Integrated rA1 contract deliverables — 45 tasks cross-referenced to workplan WBS</t>
        </is>
      </c>
    </row>
    <row r="259" ht="15" customHeight="1" s="116">
      <c r="A259" s="209" t="inlineStr">
        <is>
          <t>v6 (Apr 16, 2026): Added module testing for Programming, Projects, Contracts, Funding (per Mark #3, #13, #21)</t>
        </is>
      </c>
    </row>
    <row r="260" ht="15" customHeight="1" s="116">
      <c r="A260" s="209" t="inlineStr">
        <is>
          <t>v6 (Apr 16, 2026): Added Management Disciplines sheet (#14-18) and Acronyms &amp; Definitions (#4, #11)</t>
        </is>
      </c>
    </row>
    <row r="261" ht="15" customHeight="1" s="116">
      <c r="A261" s="209" t="inlineStr">
        <is>
          <t>v6 (Apr 16, 2026): Fixed resource names: Eric Chang, Hanuel Lee (per Mark v5); fixed SUMPRODUCT formulas</t>
        </is>
      </c>
    </row>
    <row r="262" ht="15" customHeight="1" s="116">
      <c r="A262" s="210" t="inlineStr">
        <is>
          <t>v4 (Apr 14, 2026): Doubled Ali (222→444), Jason (472→944), Tom (528→1,056); halved Steven (192→96)</t>
        </is>
      </c>
    </row>
    <row r="263" ht="15" customHeight="1" s="116">
      <c r="A263" s="210" t="inlineStr">
        <is>
          <t>v4 (Apr 14, 2026): Added AI Invoice Intake — document ingestion, field extraction, compliance analysis, review dashboard</t>
        </is>
      </c>
    </row>
    <row r="264">
      <c r="A264" s="210" t="inlineStr">
        <is>
          <t>v4 (Apr 14, 2026): Added Tableau public-facing visualizations (Tom, spanning Phase 1–2)</t>
        </is>
      </c>
    </row>
    <row r="265">
      <c r="A265" s="210" t="inlineStr">
        <is>
          <t>v4 (Apr 14, 2026): Tom role expanded: Database &amp; Tableau reporting (internal + public-facing)</t>
        </is>
      </c>
    </row>
    <row r="266">
      <c r="A266" s="210" t="inlineStr">
        <is>
          <t>v3 (Apr 14, 2026): Initial workplan with corrected roles, rates from B7, team structure</t>
        </is>
      </c>
    </row>
    <row r="267"/>
    <row r="268"/>
    <row r="269"/>
    <row r="270"/>
    <row r="271"/>
    <row r="272"/>
    <row r="273">
      <c r="A273" s="211" t="inlineStr">
        <is>
          <t>STATUS LEGEND</t>
        </is>
      </c>
    </row>
    <row r="274">
      <c r="A274" s="212" t="inlineStr">
        <is>
          <t>Not Started</t>
        </is>
      </c>
      <c r="B274" s="213" t="inlineStr">
        <is>
          <t>Planned per workplan; work has not yet begun under the contract (status of all rows as of April 19, 2026).</t>
        </is>
      </c>
    </row>
    <row r="275">
      <c r="A275" s="214" t="inlineStr">
        <is>
          <t>In Development</t>
        </is>
      </c>
      <c r="B275" s="213" t="inlineStr">
        <is>
          <t>Work is actively underway under the contract after May 1, 2026. Not yet submitted to ACTC.</t>
        </is>
      </c>
    </row>
    <row r="276">
      <c r="A276" s="215" t="inlineStr">
        <is>
          <t>Submitted for Review</t>
        </is>
      </c>
      <c r="B276" s="213" t="inlineStr">
        <is>
          <t>Formally submitted to ACTC for review; awaiting feedback or acceptance.</t>
        </is>
      </c>
    </row>
    <row r="277">
      <c r="A277" s="216" t="inlineStr">
        <is>
          <t>Accepted</t>
        </is>
      </c>
      <c r="B277" s="213" t="inlineStr">
        <is>
          <t>ACTC has formally accepted. Only CME Admin can set this status.</t>
        </is>
      </c>
    </row>
    <row r="278">
      <c r="A278" s="217" t="inlineStr">
        <is>
          <t>Rejected</t>
        </is>
      </c>
      <c r="B278" s="213" t="inlineStr">
        <is>
          <t>ACTC reviewed and explicitly rejected. Requires CME response.</t>
        </is>
      </c>
    </row>
    <row r="279">
      <c r="A279" s="218" t="inlineStr">
        <is>
          <t>Deferred</t>
        </is>
      </c>
      <c r="B279" s="213" t="inlineStr">
        <is>
          <t>Descoped or postponed beyond the current plan.</t>
        </is>
      </c>
    </row>
  </sheetData>
  <autoFilter ref="A5:H187"/>
  <mergeCells count="11">
    <mergeCell ref="B273:H273"/>
    <mergeCell ref="A3:H3"/>
    <mergeCell ref="B274:H274"/>
    <mergeCell ref="B276:H276"/>
    <mergeCell ref="A2:H2"/>
    <mergeCell ref="A190:H190"/>
    <mergeCell ref="A270:D270"/>
    <mergeCell ref="B271:H271"/>
    <mergeCell ref="B272:H272"/>
    <mergeCell ref="A1:H1"/>
    <mergeCell ref="B275:H27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5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15" min="1" max="1"/>
    <col width="6" customWidth="1" style="115" min="2" max="2"/>
    <col width="65" customWidth="1" style="115" min="3" max="3"/>
    <col width="14" customWidth="1" style="115" min="4" max="4"/>
    <col width="12" customWidth="1" style="115" min="5" max="5"/>
    <col width="14" customWidth="1" style="115" min="6" max="6"/>
    <col width="55" customWidth="1" style="115" min="7" max="7"/>
    <col width="12" customWidth="1" style="115" min="8" max="8"/>
  </cols>
  <sheetData>
    <row r="1" ht="17.25" customHeight="1" s="116">
      <c r="A1" s="219" t="inlineStr">
        <is>
          <t>Contract Deliverables Cross-Reference — Work Plan rA1</t>
        </is>
      </c>
    </row>
    <row r="2" ht="15" customHeight="1" s="116">
      <c r="A2" s="220" t="inlineStr">
        <is>
          <t>Maps R26-003 contract scope items to PCS SaaS Development Workplan WBS items</t>
        </is>
      </c>
    </row>
    <row r="4" ht="15" customHeight="1" s="116">
      <c r="A4" s="221" t="inlineStr">
        <is>
          <t>Seq</t>
        </is>
      </c>
      <c r="B4" s="221" t="inlineStr">
        <is>
          <t>Task</t>
        </is>
      </c>
      <c r="C4" s="221" t="inlineStr">
        <is>
          <t>Contract Deliverable</t>
        </is>
      </c>
      <c r="D4" s="221" t="inlineStr">
        <is>
          <t>Owner</t>
        </is>
      </c>
      <c r="E4" s="221" t="inlineStr">
        <is>
          <t>Freq</t>
        </is>
      </c>
      <c r="F4" s="221" t="inlineStr">
        <is>
          <t>Delivery</t>
        </is>
      </c>
      <c r="G4" s="221" t="inlineStr">
        <is>
          <t>Workplan WBS Reference</t>
        </is>
      </c>
      <c r="H4" s="221" t="inlineStr">
        <is>
          <t>Status</t>
        </is>
      </c>
    </row>
    <row r="5" ht="15" customHeight="1" s="116">
      <c r="A5" s="222" t="inlineStr">
        <is>
          <t>TASK 1: PROJECT CONTROLS SUPPORT</t>
        </is>
      </c>
      <c r="B5" s="180" t="n"/>
      <c r="C5" s="180" t="n"/>
      <c r="D5" s="180" t="n"/>
      <c r="E5" s="180" t="n"/>
      <c r="F5" s="180" t="n"/>
      <c r="G5" s="180" t="n"/>
      <c r="H5" s="181" t="n"/>
    </row>
    <row r="6" ht="15" customHeight="1" s="116">
      <c r="A6" s="223" t="n">
        <v>1</v>
      </c>
      <c r="B6" s="223" t="n">
        <v>1</v>
      </c>
      <c r="C6" s="223" t="inlineStr">
        <is>
          <t>Develop Work Plan</t>
        </is>
      </c>
      <c r="D6" s="223" t="inlineStr">
        <is>
          <t>CC/MN</t>
        </is>
      </c>
      <c r="E6" s="223" t="inlineStr">
        <is>
          <t>Annually</t>
        </is>
      </c>
      <c r="F6" s="223" t="inlineStr">
        <is>
          <t>Apr 2026</t>
        </is>
      </c>
      <c r="G6" s="223" t="inlineStr">
        <is>
          <t>This workplan (v6)</t>
        </is>
      </c>
      <c r="H6" s="223" t="inlineStr">
        <is>
          <t>In Progress</t>
        </is>
      </c>
    </row>
    <row r="7" ht="15" customHeight="1" s="116">
      <c r="A7" s="223" t="n">
        <v>2</v>
      </c>
      <c r="B7" s="223" t="n">
        <v>1</v>
      </c>
      <c r="C7" s="223" t="inlineStr">
        <is>
          <t>Develop System for documenting Correspondence</t>
        </is>
      </c>
      <c r="D7" s="223" t="inlineStr">
        <is>
          <t>CC/MN/SS</t>
        </is>
      </c>
      <c r="E7" s="223" t="inlineStr">
        <is>
          <t>Once</t>
        </is>
      </c>
      <c r="F7" s="223" t="inlineStr">
        <is>
          <t>Apr 2027</t>
        </is>
      </c>
      <c r="G7" s="223" t="inlineStr">
        <is>
          <t>1.4 (Contracts docs), 2.4 (Cloud Storage)</t>
        </is>
      </c>
      <c r="H7" s="223" t="inlineStr">
        <is>
          <t>Phase 1-2</t>
        </is>
      </c>
    </row>
    <row r="8" ht="15" customHeight="1" s="116">
      <c r="A8" s="223" t="n">
        <v>3</v>
      </c>
      <c r="B8" s="223" t="n">
        <v>1</v>
      </c>
      <c r="C8" s="223" t="inlineStr">
        <is>
          <t>Draft Project Controls Forms</t>
        </is>
      </c>
      <c r="D8" s="223" t="inlineStr">
        <is>
          <t>MN/SS</t>
        </is>
      </c>
      <c r="E8" s="223" t="inlineStr">
        <is>
          <t>Once</t>
        </is>
      </c>
      <c r="F8" s="223" t="inlineStr">
        <is>
          <t>Aug 2026</t>
        </is>
      </c>
      <c r="G8" s="223" t="inlineStr">
        <is>
          <t>1.8.2 (PMI terminology/tooltips), Nipper docs</t>
        </is>
      </c>
      <c r="H8" s="223" t="inlineStr">
        <is>
          <t>Phase 1</t>
        </is>
      </c>
    </row>
    <row r="9" ht="15" customHeight="1" s="116">
      <c r="A9" s="223" t="n">
        <v>4</v>
      </c>
      <c r="B9" s="223" t="n">
        <v>1</v>
      </c>
      <c r="C9" s="223" t="inlineStr">
        <is>
          <t>Compile Funding and PC Data</t>
        </is>
      </c>
      <c r="D9" s="223" t="inlineStr">
        <is>
          <t>MN/SS</t>
        </is>
      </c>
      <c r="E9" s="223" t="inlineStr">
        <is>
          <t>Monthly</t>
        </is>
      </c>
      <c r="F9" s="223" t="inlineStr">
        <is>
          <t>Ongoing</t>
        </is>
      </c>
      <c r="G9" s="223" t="inlineStr">
        <is>
          <t>1.6 (Funding), 1.9 (Tableau), PM.5</t>
        </is>
      </c>
      <c r="H9" s="223" t="inlineStr">
        <is>
          <t>Phase 1+</t>
        </is>
      </c>
    </row>
    <row r="10" ht="15" customHeight="1" s="116">
      <c r="A10" s="223" t="n">
        <v>5</v>
      </c>
      <c r="B10" s="223" t="n">
        <v>1</v>
      </c>
      <c r="C10" s="223" t="inlineStr">
        <is>
          <t>Develop system to maintain PC Data</t>
        </is>
      </c>
      <c r="D10" s="223" t="inlineStr">
        <is>
          <t>CC/MN/SS</t>
        </is>
      </c>
      <c r="E10" s="223" t="inlineStr">
        <is>
          <t>Once</t>
        </is>
      </c>
      <c r="F10" s="223" t="inlineStr">
        <is>
          <t>Apr 2027</t>
        </is>
      </c>
      <c r="G10" s="223" t="inlineStr">
        <is>
          <t>1.1-1.10 (entire PCS SaaS build = this system)</t>
        </is>
      </c>
      <c r="H10" s="223" t="inlineStr">
        <is>
          <t>Phase 1</t>
        </is>
      </c>
    </row>
    <row r="11" ht="15" customHeight="1" s="116">
      <c r="A11" s="223" t="n">
        <v>6</v>
      </c>
      <c r="B11" s="223" t="n">
        <v>1</v>
      </c>
      <c r="C11" s="223" t="inlineStr">
        <is>
          <t>Prepare Analytical Reports</t>
        </is>
      </c>
      <c r="D11" s="223" t="inlineStr">
        <is>
          <t>MN/SS</t>
        </is>
      </c>
      <c r="E11" s="223" t="inlineStr">
        <is>
          <t>Monthly</t>
        </is>
      </c>
      <c r="F11" s="223" t="inlineStr">
        <is>
          <t>Ongoing</t>
        </is>
      </c>
      <c r="G11" s="223" t="inlineStr">
        <is>
          <t>1.9 (Tableau), 2.8 (Public Viz), 2.6 (Adv Reporting)</t>
        </is>
      </c>
      <c r="H11" s="223" t="inlineStr">
        <is>
          <t>Phase 1+</t>
        </is>
      </c>
    </row>
    <row r="12" ht="15" customHeight="1" s="116">
      <c r="A12" s="223" t="n">
        <v>7</v>
      </c>
      <c r="B12" s="223" t="n">
        <v>1</v>
      </c>
      <c r="C12" s="223" t="inlineStr">
        <is>
          <t>Draft Project Controls Monitoring Reports</t>
        </is>
      </c>
      <c r="D12" s="223" t="inlineStr">
        <is>
          <t>MN/SS</t>
        </is>
      </c>
      <c r="E12" s="223" t="inlineStr">
        <is>
          <t>Once</t>
        </is>
      </c>
      <c r="F12" s="223" t="inlineStr">
        <is>
          <t>Aug 2026</t>
        </is>
      </c>
      <c r="G12" s="223" t="inlineStr">
        <is>
          <t>1.3.2 (Cost/Schedule Reports per rA2)</t>
        </is>
      </c>
      <c r="H12" s="223" t="inlineStr">
        <is>
          <t>Phase 1</t>
        </is>
      </c>
    </row>
    <row r="13" ht="15" customHeight="1" s="116">
      <c r="A13" s="223" t="n">
        <v>8</v>
      </c>
      <c r="B13" s="223" t="n">
        <v>1</v>
      </c>
      <c r="C13" s="223" t="inlineStr">
        <is>
          <t>Support Mid-year &amp; Annual FY Budgets</t>
        </is>
      </c>
      <c r="D13" s="223" t="inlineStr">
        <is>
          <t>CC/MN/SS</t>
        </is>
      </c>
      <c r="E13" s="223" t="inlineStr">
        <is>
          <t>Annually</t>
        </is>
      </c>
      <c r="F13" s="223" t="inlineStr">
        <is>
          <t>Ongoing</t>
        </is>
      </c>
      <c r="G13" s="223" t="inlineStr">
        <is>
          <t>1.4.4 (Time-phased budgets, WF-23/24)</t>
        </is>
      </c>
      <c r="H13" s="223" t="inlineStr">
        <is>
          <t>Phase 1+</t>
        </is>
      </c>
    </row>
    <row r="14" ht="15" customHeight="1" s="116">
      <c r="A14" s="223" t="n">
        <v>9</v>
      </c>
      <c r="B14" s="223" t="n">
        <v>1</v>
      </c>
      <c r="C14" s="223" t="inlineStr">
        <is>
          <t>Assist in drafting Agenda Packages</t>
        </is>
      </c>
      <c r="D14" s="223" t="inlineStr">
        <is>
          <t>MN/SS</t>
        </is>
      </c>
      <c r="E14" s="223" t="inlineStr">
        <is>
          <t>As req</t>
        </is>
      </c>
      <c r="F14" s="223" t="inlineStr">
        <is>
          <t>Ongoing</t>
        </is>
      </c>
      <c r="G14" s="223" t="inlineStr">
        <is>
          <t>1.8.3 (Print/export, ACTC branded PDF)</t>
        </is>
      </c>
      <c r="H14" s="223" t="inlineStr">
        <is>
          <t>Phase 1+</t>
        </is>
      </c>
    </row>
    <row r="15" ht="15" customHeight="1" s="116">
      <c r="A15" s="222" t="inlineStr">
        <is>
          <t>TASK 2: PROJECT DELIVERY SUPPORT</t>
        </is>
      </c>
      <c r="B15" s="180" t="n"/>
      <c r="C15" s="180" t="n"/>
      <c r="D15" s="180" t="n"/>
      <c r="E15" s="180" t="n"/>
      <c r="F15" s="180" t="n"/>
      <c r="G15" s="180" t="n"/>
      <c r="H15" s="181" t="n"/>
    </row>
    <row r="16" ht="15" customHeight="1" s="116">
      <c r="A16" s="224" t="n">
        <v>10</v>
      </c>
      <c r="B16" s="224" t="n">
        <v>2</v>
      </c>
      <c r="C16" s="224" t="inlineStr">
        <is>
          <t>Draft Change Management Procedures</t>
        </is>
      </c>
      <c r="D16" s="224" t="inlineStr">
        <is>
          <t>MN</t>
        </is>
      </c>
      <c r="E16" s="224" t="inlineStr">
        <is>
          <t>Once</t>
        </is>
      </c>
      <c r="F16" s="224" t="inlineStr">
        <is>
          <t>Aug 2026</t>
        </is>
      </c>
      <c r="G16" s="224" t="inlineStr">
        <is>
          <t>1.4.2 (C1/C2), WF-11/12/13, Nipper docs</t>
        </is>
      </c>
      <c r="H16" s="224" t="inlineStr">
        <is>
          <t>Phase 1</t>
        </is>
      </c>
    </row>
    <row r="17" ht="15" customHeight="1" s="116">
      <c r="A17" s="224" t="n">
        <v>11</v>
      </c>
      <c r="B17" s="224" t="n">
        <v>2</v>
      </c>
      <c r="C17" s="224" t="inlineStr">
        <is>
          <t>Draft Risk Management Procedures</t>
        </is>
      </c>
      <c r="D17" s="224" t="inlineStr">
        <is>
          <t>MN</t>
        </is>
      </c>
      <c r="E17" s="224" t="inlineStr">
        <is>
          <t>Once</t>
        </is>
      </c>
      <c r="F17" s="224" t="inlineStr">
        <is>
          <t>Aug 2026</t>
        </is>
      </c>
      <c r="G17" s="224" t="inlineStr">
        <is>
          <t>PM.5 (Risk mgmt), Nipper documentation</t>
        </is>
      </c>
      <c r="H17" s="224" t="inlineStr">
        <is>
          <t>Phase 1</t>
        </is>
      </c>
    </row>
    <row r="18" ht="15" customHeight="1" s="116">
      <c r="A18" s="224" t="n">
        <v>12</v>
      </c>
      <c r="B18" s="224" t="n">
        <v>2</v>
      </c>
      <c r="C18" s="224" t="inlineStr">
        <is>
          <t>Draft Schedule Development/Mgmt Procedures</t>
        </is>
      </c>
      <c r="D18" s="224" t="inlineStr">
        <is>
          <t>MN</t>
        </is>
      </c>
      <c r="E18" s="224" t="inlineStr">
        <is>
          <t>Once</t>
        </is>
      </c>
      <c r="F18" s="224" t="inlineStr">
        <is>
          <t>Aug 2026</t>
        </is>
      </c>
      <c r="G18" s="224" t="inlineStr">
        <is>
          <t>1.3.2 (Schedule Reports), 2.3 (.mpp import/export)</t>
        </is>
      </c>
      <c r="H18" s="224" t="inlineStr">
        <is>
          <t>Phase 1</t>
        </is>
      </c>
    </row>
    <row r="19" ht="15" customHeight="1" s="116">
      <c r="A19" s="224" t="n">
        <v>13</v>
      </c>
      <c r="B19" s="224" t="n">
        <v>2</v>
      </c>
      <c r="C19" s="224" t="inlineStr">
        <is>
          <t>Maintain Project Delivery Data (financials, deadlines, costs)</t>
        </is>
      </c>
      <c r="D19" s="224" t="inlineStr">
        <is>
          <t>MN/SS/HL/EC</t>
        </is>
      </c>
      <c r="E19" s="224" t="inlineStr">
        <is>
          <t>Monthly</t>
        </is>
      </c>
      <c r="F19" s="224" t="inlineStr">
        <is>
          <t>Ongoing</t>
        </is>
      </c>
      <c r="G19" s="224" t="inlineStr">
        <is>
          <t>1.3 (Projects), 1.5 (Invoices), PCS operations</t>
        </is>
      </c>
      <c r="H19" s="224" t="inlineStr">
        <is>
          <t>Phase 1+</t>
        </is>
      </c>
    </row>
    <row r="20" ht="15" customHeight="1" s="116">
      <c r="A20" s="224" t="n">
        <v>14</v>
      </c>
      <c r="B20" s="224" t="n">
        <v>2</v>
      </c>
      <c r="C20" s="224" t="inlineStr">
        <is>
          <t>Refine PC Processes, Tools, Reports &amp; Delivery Plans</t>
        </is>
      </c>
      <c r="D20" s="224" t="inlineStr">
        <is>
          <t>CC/MN/SS</t>
        </is>
      </c>
      <c r="E20" s="224" t="inlineStr">
        <is>
          <t>Once</t>
        </is>
      </c>
      <c r="F20" s="224" t="inlineStr">
        <is>
          <t>Aug 2026</t>
        </is>
      </c>
      <c r="G20" s="224" t="inlineStr">
        <is>
          <t>1.1.3 (Workflow engine), 1.8.2 (PMI), 3.2 (Adv WF)</t>
        </is>
      </c>
      <c r="H20" s="224" t="inlineStr">
        <is>
          <t>Phase 1-3</t>
        </is>
      </c>
    </row>
    <row r="21" ht="15" customHeight="1" s="116">
      <c r="A21" s="224" t="n">
        <v>15</v>
      </c>
      <c r="B21" s="224" t="n">
        <v>2</v>
      </c>
      <c r="C21" s="224" t="inlineStr">
        <is>
          <t>Develop PC Procedures for project/program monitoring</t>
        </is>
      </c>
      <c r="D21" s="224" t="inlineStr">
        <is>
          <t>MN/SS</t>
        </is>
      </c>
      <c r="E21" s="224" t="inlineStr">
        <is>
          <t>Once</t>
        </is>
      </c>
      <c r="F21" s="224" t="inlineStr">
        <is>
          <t>Aug 2026</t>
        </is>
      </c>
      <c r="G21" s="224" t="inlineStr">
        <is>
          <t>1.8.2 (PMI standards), Nipper Phase 1 docs</t>
        </is>
      </c>
      <c r="H21" s="224" t="inlineStr">
        <is>
          <t>Phase 1</t>
        </is>
      </c>
    </row>
    <row r="22" ht="15" customHeight="1" s="116">
      <c r="A22" s="224" t="n">
        <v>16</v>
      </c>
      <c r="B22" s="224" t="n">
        <v>2</v>
      </c>
      <c r="C22" s="224" t="inlineStr">
        <is>
          <t>Prepare/review Delivery Plans, Cost/Schedule Controls</t>
        </is>
      </c>
      <c r="D22" s="224" t="inlineStr">
        <is>
          <t>MN/SS/HL/EC</t>
        </is>
      </c>
      <c r="E22" s="224" t="inlineStr">
        <is>
          <t>Once</t>
        </is>
      </c>
      <c r="F22" s="224" t="inlineStr">
        <is>
          <t>Aug 2026</t>
        </is>
      </c>
      <c r="G22" s="224" t="inlineStr">
        <is>
          <t>1.3.2 (Cost/Schedule Reports rA2), 1.9 (Tableau)</t>
        </is>
      </c>
      <c r="H22" s="224" t="inlineStr">
        <is>
          <t>Phase 1</t>
        </is>
      </c>
    </row>
    <row r="23" ht="15" customHeight="1" s="116">
      <c r="A23" s="224" t="n">
        <v>17</v>
      </c>
      <c r="B23" s="224" t="n">
        <v>2</v>
      </c>
      <c r="C23" s="224" t="inlineStr">
        <is>
          <t>Work with Delivery Team to maintain PM information</t>
        </is>
      </c>
      <c r="D23" s="224" t="inlineStr">
        <is>
          <t>MN/SS</t>
        </is>
      </c>
      <c r="E23" s="224" t="inlineStr">
        <is>
          <t>Monthly</t>
        </is>
      </c>
      <c r="F23" s="224" t="inlineStr">
        <is>
          <t>Ongoing</t>
        </is>
      </c>
      <c r="G23" s="224" t="inlineStr">
        <is>
          <t>1.3 (Projects Module), PM.1</t>
        </is>
      </c>
      <c r="H23" s="224" t="inlineStr">
        <is>
          <t>Phase 1+</t>
        </is>
      </c>
    </row>
    <row r="24" ht="15" customHeight="1" s="116">
      <c r="A24" s="224" t="n">
        <v>18</v>
      </c>
      <c r="B24" s="224" t="n">
        <v>2</v>
      </c>
      <c r="C24" s="224" t="inlineStr">
        <is>
          <t>Develop Change Management Plan (contract compliance)</t>
        </is>
      </c>
      <c r="D24" s="224" t="inlineStr">
        <is>
          <t>MN/SS</t>
        </is>
      </c>
      <c r="E24" s="224" t="inlineStr">
        <is>
          <t>Once</t>
        </is>
      </c>
      <c r="F24" s="224" t="inlineStr">
        <is>
          <t>Aug 2026</t>
        </is>
      </c>
      <c r="G24" s="224" t="inlineStr">
        <is>
          <t>1.4.3 (Contract workflows WF-09/10), Nipper docs</t>
        </is>
      </c>
      <c r="H24" s="224" t="inlineStr">
        <is>
          <t>Phase 1</t>
        </is>
      </c>
    </row>
    <row r="25" ht="15" customHeight="1" s="116">
      <c r="A25" s="224" t="n">
        <v>19</v>
      </c>
      <c r="B25" s="224" t="n">
        <v>2</v>
      </c>
      <c r="C25" s="224" t="inlineStr">
        <is>
          <t>Assist with Cost and Schedule Controls management</t>
        </is>
      </c>
      <c r="D25" s="224" t="inlineStr">
        <is>
          <t>MN/SS</t>
        </is>
      </c>
      <c r="E25" s="224" t="inlineStr">
        <is>
          <t>Monthly</t>
        </is>
      </c>
      <c r="F25" s="224" t="inlineStr">
        <is>
          <t>Ongoing</t>
        </is>
      </c>
      <c r="G25" s="224" t="inlineStr">
        <is>
          <t>1.3.2, 1.4.4 (WF-23), PM.4</t>
        </is>
      </c>
      <c r="H25" s="224" t="inlineStr">
        <is>
          <t>Phase 1+</t>
        </is>
      </c>
    </row>
    <row r="26" ht="15" customHeight="1" s="116">
      <c r="A26" s="224" t="n">
        <v>20</v>
      </c>
      <c r="B26" s="224" t="n">
        <v>2</v>
      </c>
      <c r="C26" s="224" t="inlineStr">
        <is>
          <t>PC Admin: maintain data, reconcile costs, funding plans</t>
        </is>
      </c>
      <c r="D26" s="224" t="inlineStr">
        <is>
          <t>HL/EC</t>
        </is>
      </c>
      <c r="E26" s="224" t="inlineStr">
        <is>
          <t>Monthly</t>
        </is>
      </c>
      <c r="F26" s="224" t="inlineStr">
        <is>
          <t>Ongoing</t>
        </is>
      </c>
      <c r="G26" s="224" t="inlineStr">
        <is>
          <t>1.5 (Invoices), 1.6 (Funding), PCS operations</t>
        </is>
      </c>
      <c r="H26" s="224" t="inlineStr">
        <is>
          <t>Phase 1+</t>
        </is>
      </c>
    </row>
    <row r="27" ht="15" customHeight="1" s="116">
      <c r="A27" s="224" t="n">
        <v>21</v>
      </c>
      <c r="B27" s="224" t="n">
        <v>2</v>
      </c>
      <c r="C27" s="224" t="inlineStr">
        <is>
          <t>Record funding agreement information in PCS</t>
        </is>
      </c>
      <c r="D27" s="224" t="inlineStr">
        <is>
          <t>HL/EC</t>
        </is>
      </c>
      <c r="E27" s="224" t="inlineStr">
        <is>
          <t>Monthly</t>
        </is>
      </c>
      <c r="F27" s="224" t="inlineStr">
        <is>
          <t>Ongoing</t>
        </is>
      </c>
      <c r="G27" s="224" t="inlineStr">
        <is>
          <t>1.6 (Funding — grants, allotments, DIAs)</t>
        </is>
      </c>
      <c r="H27" s="224" t="inlineStr">
        <is>
          <t>Phase 1+</t>
        </is>
      </c>
    </row>
    <row r="28" ht="15" customHeight="1" s="116">
      <c r="A28" s="224" t="n">
        <v>22</v>
      </c>
      <c r="B28" s="224" t="n">
        <v>2</v>
      </c>
      <c r="C28" s="224" t="inlineStr">
        <is>
          <t>Prepare financial and funding reports</t>
        </is>
      </c>
      <c r="D28" s="224" t="inlineStr">
        <is>
          <t>MN/SS</t>
        </is>
      </c>
      <c r="E28" s="224" t="inlineStr">
        <is>
          <t>As req</t>
        </is>
      </c>
      <c r="F28" s="224" t="inlineStr">
        <is>
          <t>Ongoing</t>
        </is>
      </c>
      <c r="G28" s="224" t="inlineStr">
        <is>
          <t>1.9 (Tableau), 2.8 (Public Viz), 2.6 (Reporting)</t>
        </is>
      </c>
      <c r="H28" s="224" t="inlineStr">
        <is>
          <t>Phase 1+</t>
        </is>
      </c>
    </row>
    <row r="29" ht="15" customHeight="1" s="116">
      <c r="A29" s="224" t="n">
        <v>23</v>
      </c>
      <c r="B29" s="224" t="n">
        <v>2</v>
      </c>
      <c r="C29" s="224" t="inlineStr">
        <is>
          <t>Implement Change Mgmt &amp; Document Control for PCS</t>
        </is>
      </c>
      <c r="D29" s="224" t="inlineStr">
        <is>
          <t>CC</t>
        </is>
      </c>
      <c r="E29" s="224" t="inlineStr">
        <is>
          <t>Once</t>
        </is>
      </c>
      <c r="F29" s="224" t="inlineStr">
        <is>
          <t>Apr 2027</t>
        </is>
      </c>
      <c r="G29" s="224" t="inlineStr">
        <is>
          <t>1.1.3 (Workflow engine), 1.4 (Contracts), 2.4 (Cloud)</t>
        </is>
      </c>
      <c r="H29" s="224" t="inlineStr">
        <is>
          <t>Phase 1-2</t>
        </is>
      </c>
    </row>
    <row r="30" ht="15" customHeight="1" s="116">
      <c r="A30" s="224" t="n">
        <v>24</v>
      </c>
      <c r="B30" s="224" t="n">
        <v>2</v>
      </c>
      <c r="C30" s="224" t="inlineStr">
        <is>
          <t>Analyze system design, develop PCS, support DB programming</t>
        </is>
      </c>
      <c r="D30" s="224" t="inlineStr">
        <is>
          <t>CC</t>
        </is>
      </c>
      <c r="E30" s="224" t="inlineStr">
        <is>
          <t>Once</t>
        </is>
      </c>
      <c r="F30" s="224" t="inlineStr">
        <is>
          <t>Apr 2027</t>
        </is>
      </c>
      <c r="G30" s="224" t="inlineStr">
        <is>
          <t>1.1 (Infrastructure), entire Phase 1 build</t>
        </is>
      </c>
      <c r="H30" s="224" t="inlineStr">
        <is>
          <t>Phase 1</t>
        </is>
      </c>
    </row>
    <row r="31" ht="15" customHeight="1" s="116">
      <c r="A31" s="224" t="n">
        <v>25</v>
      </c>
      <c r="B31" s="224" t="n">
        <v>2</v>
      </c>
      <c r="C31" s="224" t="inlineStr">
        <is>
          <t>Review system, implement tools to improve PC data</t>
        </is>
      </c>
      <c r="D31" s="224" t="inlineStr">
        <is>
          <t>CC</t>
        </is>
      </c>
      <c r="E31" s="224" t="inlineStr">
        <is>
          <t>Once</t>
        </is>
      </c>
      <c r="F31" s="224" t="inlineStr">
        <is>
          <t>Aug 2026</t>
        </is>
      </c>
      <c r="G31" s="224" t="inlineStr">
        <is>
          <t>1.5.1-1.5.4 (AI Invoice Intake), 1.8.1 (AI Assistant)</t>
        </is>
      </c>
      <c r="H31" s="224" t="inlineStr">
        <is>
          <t>Phase 1</t>
        </is>
      </c>
    </row>
    <row r="32" ht="15" customHeight="1" s="116">
      <c r="A32" s="224" t="n">
        <v>26</v>
      </c>
      <c r="B32" s="224" t="n">
        <v>2</v>
      </c>
      <c r="C32" s="224" t="inlineStr">
        <is>
          <t>Modify, delete, develop database modules as required</t>
        </is>
      </c>
      <c r="D32" s="224" t="inlineStr">
        <is>
          <t>CC</t>
        </is>
      </c>
      <c r="E32" s="224" t="inlineStr">
        <is>
          <t>Once</t>
        </is>
      </c>
      <c r="F32" s="224" t="inlineStr">
        <is>
          <t>Apr 2027</t>
        </is>
      </c>
      <c r="G32" s="224" t="inlineStr">
        <is>
          <t>1.2-1.6 (module builds), 2.1-2.8 (Phase 2)</t>
        </is>
      </c>
      <c r="H32" s="224" t="inlineStr">
        <is>
          <t>Phase 1-2</t>
        </is>
      </c>
    </row>
    <row r="33" ht="15" customHeight="1" s="116">
      <c r="A33" s="224" t="n">
        <v>27</v>
      </c>
      <c r="B33" s="224" t="n">
        <v>2</v>
      </c>
      <c r="C33" s="224" t="inlineStr">
        <is>
          <t>Support infrastructure / technical DB programming</t>
        </is>
      </c>
      <c r="D33" s="224" t="inlineStr">
        <is>
          <t>CC</t>
        </is>
      </c>
      <c r="E33" s="224" t="inlineStr">
        <is>
          <t>As req</t>
        </is>
      </c>
      <c r="F33" s="224" t="inlineStr">
        <is>
          <t>Ongoing</t>
        </is>
      </c>
      <c r="G33" s="224" t="inlineStr">
        <is>
          <t>3.2 (Adv workflows), 3.3 (Perf), 3.5 (Cutover)</t>
        </is>
      </c>
      <c r="H33" s="224" t="inlineStr">
        <is>
          <t>Phase 1-3</t>
        </is>
      </c>
    </row>
    <row r="34" ht="15" customHeight="1" s="116">
      <c r="A34" s="224" t="n">
        <v>28</v>
      </c>
      <c r="B34" s="224" t="n">
        <v>2</v>
      </c>
      <c r="C34" s="224" t="inlineStr">
        <is>
          <t>Design/develop Project, Contract, Invoice Dashboards</t>
        </is>
      </c>
      <c r="D34" s="224" t="inlineStr">
        <is>
          <t>CC</t>
        </is>
      </c>
      <c r="E34" s="224" t="inlineStr">
        <is>
          <t>Once</t>
        </is>
      </c>
      <c r="F34" s="224" t="inlineStr">
        <is>
          <t>Apr 2027</t>
        </is>
      </c>
      <c r="G34" s="224" t="inlineStr">
        <is>
          <t>1.1.5 (Home dashboard), 1.9/2.8 (Tableau)</t>
        </is>
      </c>
      <c r="H34" s="224" t="inlineStr">
        <is>
          <t>Phase 1-2</t>
        </is>
      </c>
    </row>
    <row r="35" ht="15" customHeight="1" s="116">
      <c r="A35" s="224" t="n">
        <v>29</v>
      </c>
      <c r="B35" s="224" t="n">
        <v>2</v>
      </c>
      <c r="C35" s="224" t="inlineStr">
        <is>
          <t>Perform QA/QC of prepared Reports</t>
        </is>
      </c>
      <c r="D35" s="224" t="inlineStr">
        <is>
          <t>CC/MN/SS</t>
        </is>
      </c>
      <c r="E35" s="224" t="inlineStr">
        <is>
          <t>Monthly</t>
        </is>
      </c>
      <c r="F35" s="224" t="inlineStr">
        <is>
          <t>Ongoing</t>
        </is>
      </c>
      <c r="G35" s="224" t="inlineStr">
        <is>
          <t>1.10 (UAT), PM.1/PM.5, all testing tasks</t>
        </is>
      </c>
      <c r="H35" s="224" t="inlineStr">
        <is>
          <t>Ongoing</t>
        </is>
      </c>
    </row>
    <row r="36" ht="15" customHeight="1" s="116">
      <c r="A36" s="224" t="n">
        <v>30</v>
      </c>
      <c r="B36" s="224" t="n">
        <v>2</v>
      </c>
      <c r="C36" s="224" t="inlineStr">
        <is>
          <t>Optimize the System</t>
        </is>
      </c>
      <c r="D36" s="224" t="inlineStr">
        <is>
          <t>CC</t>
        </is>
      </c>
      <c r="E36" s="224" t="inlineStr">
        <is>
          <t>As req</t>
        </is>
      </c>
      <c r="F36" s="224" t="inlineStr">
        <is>
          <t>Ongoing</t>
        </is>
      </c>
      <c r="G36" s="224" t="inlineStr">
        <is>
          <t>3.1-3.5 (Phase 3 Optimization)</t>
        </is>
      </c>
      <c r="H36" s="224" t="inlineStr">
        <is>
          <t>Phase 3</t>
        </is>
      </c>
    </row>
    <row r="37" ht="15" customHeight="1" s="116">
      <c r="A37" s="224" t="n">
        <v>31</v>
      </c>
      <c r="B37" s="224" t="n">
        <v>2</v>
      </c>
      <c r="C37" s="224" t="inlineStr">
        <is>
          <t>Develop/enhance PC Processes for Budgets, Estimates, Schedules</t>
        </is>
      </c>
      <c r="D37" s="224" t="inlineStr">
        <is>
          <t>CC/MN/SS</t>
        </is>
      </c>
      <c r="E37" s="224" t="inlineStr">
        <is>
          <t>Once</t>
        </is>
      </c>
      <c r="F37" s="224" t="inlineStr">
        <is>
          <t>Aug 2026</t>
        </is>
      </c>
      <c r="G37" s="224" t="inlineStr">
        <is>
          <t>1.3.2, 1.4.4 (WF-23/24), 1.8.2 (PMI)</t>
        </is>
      </c>
      <c r="H37" s="224" t="inlineStr">
        <is>
          <t>Phase 1</t>
        </is>
      </c>
    </row>
    <row r="38" ht="15" customHeight="1" s="116">
      <c r="A38" s="224" t="n">
        <v>32</v>
      </c>
      <c r="B38" s="224" t="n">
        <v>2</v>
      </c>
      <c r="C38" s="224" t="inlineStr">
        <is>
          <t>General Cost/Schedule/Systems/Risk Mgmt support</t>
        </is>
      </c>
      <c r="D38" s="224" t="inlineStr">
        <is>
          <t>MN/SS</t>
        </is>
      </c>
      <c r="E38" s="224" t="inlineStr">
        <is>
          <t>Monthly</t>
        </is>
      </c>
      <c r="F38" s="224" t="inlineStr">
        <is>
          <t>Ongoing</t>
        </is>
      </c>
      <c r="G38" s="224" t="inlineStr">
        <is>
          <t>PM.4/PM.5, all Salzwedel reviews</t>
        </is>
      </c>
      <c r="H38" s="224" t="inlineStr">
        <is>
          <t>Ongoing</t>
        </is>
      </c>
    </row>
    <row r="39" ht="23.25" customHeight="1" s="116">
      <c r="A39" s="224" t="n">
        <v>33</v>
      </c>
      <c r="B39" s="224" t="n">
        <v>2</v>
      </c>
      <c r="C39" s="224" t="inlineStr">
        <is>
          <t>Deliverables: PCS, Monitoring Rpts, Funding Plans, Expiration Rpts, PMO, Strategic Plan</t>
        </is>
      </c>
      <c r="D39" s="224" t="inlineStr">
        <is>
          <t>CC/MN/SS</t>
        </is>
      </c>
      <c r="E39" s="224" t="inlineStr">
        <is>
          <t>As req</t>
        </is>
      </c>
      <c r="F39" s="224" t="inlineStr">
        <is>
          <t>Ongoing</t>
        </is>
      </c>
      <c r="G39" s="224" t="inlineStr">
        <is>
          <t>1.2-1.6 (modules), 1.9/2.8 (Tableau), all docs</t>
        </is>
      </c>
      <c r="H39" s="224" t="inlineStr">
        <is>
          <t>Phase 1+</t>
        </is>
      </c>
    </row>
    <row r="40" ht="15" customHeight="1" s="116">
      <c r="A40" s="222" t="inlineStr">
        <is>
          <t>TASK 3: PROGRAMMING &amp; FUND MANAGEMENT SUPPORT</t>
        </is>
      </c>
      <c r="B40" s="180" t="n"/>
      <c r="C40" s="180" t="n"/>
      <c r="D40" s="180" t="n"/>
      <c r="E40" s="180" t="n"/>
      <c r="F40" s="180" t="n"/>
      <c r="G40" s="180" t="n"/>
      <c r="H40" s="181" t="n"/>
    </row>
    <row r="41" ht="15" customHeight="1" s="116">
      <c r="A41" s="225" t="n">
        <v>34</v>
      </c>
      <c r="B41" s="225" t="n">
        <v>3</v>
      </c>
      <c r="C41" s="225" t="inlineStr">
        <is>
          <t>Guidance on Strategic Programming Approaches</t>
        </is>
      </c>
      <c r="D41" s="225" t="inlineStr">
        <is>
          <t>CC</t>
        </is>
      </c>
      <c r="E41" s="225" t="inlineStr">
        <is>
          <t>As req</t>
        </is>
      </c>
      <c r="F41" s="225" t="inlineStr">
        <is>
          <t>Ongoing</t>
        </is>
      </c>
      <c r="G41" s="225" t="inlineStr">
        <is>
          <t>1.2 (Programming), PM.1</t>
        </is>
      </c>
      <c r="H41" s="225" t="inlineStr">
        <is>
          <t>Phase 1+</t>
        </is>
      </c>
    </row>
    <row r="42" ht="15" customHeight="1" s="116">
      <c r="A42" s="225" t="n">
        <v>35</v>
      </c>
      <c r="B42" s="225" t="n">
        <v>3</v>
      </c>
      <c r="C42" s="225" t="inlineStr">
        <is>
          <t>Develop policies/procedures for Programming &amp; Oversight</t>
        </is>
      </c>
      <c r="D42" s="225" t="inlineStr">
        <is>
          <t>CC/MN/SS</t>
        </is>
      </c>
      <c r="E42" s="225" t="inlineStr">
        <is>
          <t>Once</t>
        </is>
      </c>
      <c r="F42" s="225" t="inlineStr">
        <is>
          <t>Phase 1</t>
        </is>
      </c>
      <c r="G42" s="225" t="inlineStr">
        <is>
          <t>1.2.2 (CIP workflow), Nipper docs</t>
        </is>
      </c>
      <c r="H42" s="225" t="inlineStr">
        <is>
          <t>Phase 1</t>
        </is>
      </c>
    </row>
    <row r="43" ht="15" customHeight="1" s="116">
      <c r="A43" s="225" t="n">
        <v>36</v>
      </c>
      <c r="B43" s="225" t="n">
        <v>3</v>
      </c>
      <c r="C43" s="225" t="inlineStr">
        <is>
          <t>PM Oversight of externally implemented projects</t>
        </is>
      </c>
      <c r="D43" s="225" t="inlineStr">
        <is>
          <t>CC/MN/SS</t>
        </is>
      </c>
      <c r="E43" s="225" t="inlineStr">
        <is>
          <t>As req</t>
        </is>
      </c>
      <c r="F43" s="225" t="inlineStr">
        <is>
          <t>Ongoing</t>
        </is>
      </c>
      <c r="G43" s="225" t="inlineStr">
        <is>
          <t>1.3 (Projects), 1.9/2.8 (Tableau)</t>
        </is>
      </c>
      <c r="H43" s="225" t="inlineStr">
        <is>
          <t>Phase 1+</t>
        </is>
      </c>
    </row>
    <row r="44" ht="15" customHeight="1" s="116">
      <c r="A44" s="225" t="n">
        <v>37</v>
      </c>
      <c r="B44" s="225" t="n">
        <v>3</v>
      </c>
      <c r="C44" s="225" t="inlineStr">
        <is>
          <t>Develop processes for Fund Program Admin &amp; Oversight</t>
        </is>
      </c>
      <c r="D44" s="225" t="inlineStr">
        <is>
          <t>MN/SS</t>
        </is>
      </c>
      <c r="E44" s="225" t="inlineStr">
        <is>
          <t>Once</t>
        </is>
      </c>
      <c r="F44" s="225" t="inlineStr">
        <is>
          <t>Phase 1</t>
        </is>
      </c>
      <c r="G44" s="225" t="inlineStr">
        <is>
          <t>1.6 (Funding Module), Nipper docs</t>
        </is>
      </c>
      <c r="H44" s="225" t="inlineStr">
        <is>
          <t>Phase 1</t>
        </is>
      </c>
    </row>
    <row r="45" ht="15" customHeight="1" s="116">
      <c r="A45" s="225" t="n">
        <v>38</v>
      </c>
      <c r="B45" s="225" t="n">
        <v>3</v>
      </c>
      <c r="C45" s="225" t="inlineStr">
        <is>
          <t>Improve grant administration</t>
        </is>
      </c>
      <c r="D45" s="225" t="inlineStr">
        <is>
          <t>CC/MN/SS</t>
        </is>
      </c>
      <c r="E45" s="225" t="inlineStr">
        <is>
          <t>As req</t>
        </is>
      </c>
      <c r="F45" s="225" t="inlineStr">
        <is>
          <t>Ongoing</t>
        </is>
      </c>
      <c r="G45" s="225" t="inlineStr">
        <is>
          <t>1.6 (Funding — grants, closeouts)</t>
        </is>
      </c>
      <c r="H45" s="225" t="inlineStr">
        <is>
          <t>Phase 1+</t>
        </is>
      </c>
    </row>
    <row r="46" ht="15" customHeight="1" s="116">
      <c r="A46" s="225" t="n">
        <v>39</v>
      </c>
      <c r="B46" s="225" t="n">
        <v>3</v>
      </c>
      <c r="C46" s="225" t="inlineStr">
        <is>
          <t>Federal/state funding support (Caltrans, DBE)</t>
        </is>
      </c>
      <c r="D46" s="225" t="inlineStr">
        <is>
          <t>CC/MN/SS</t>
        </is>
      </c>
      <c r="E46" s="225" t="inlineStr">
        <is>
          <t>As req</t>
        </is>
      </c>
      <c r="F46" s="225" t="inlineStr">
        <is>
          <t>Ongoing</t>
        </is>
      </c>
      <c r="G46" s="225" t="inlineStr">
        <is>
          <t>2.2 (Contract Equity — LBE/SLBE/DBE)</t>
        </is>
      </c>
      <c r="H46" s="225" t="inlineStr">
        <is>
          <t>Phase 2</t>
        </is>
      </c>
    </row>
    <row r="47" ht="15" customHeight="1" s="116">
      <c r="A47" s="225" t="n">
        <v>40</v>
      </c>
      <c r="B47" s="225" t="n">
        <v>3</v>
      </c>
      <c r="C47" s="225" t="inlineStr">
        <is>
          <t>Support CIP preparation for Commission approval</t>
        </is>
      </c>
      <c r="D47" s="225" t="inlineStr">
        <is>
          <t>CC/MN/SS</t>
        </is>
      </c>
      <c r="E47" s="225" t="inlineStr">
        <is>
          <t>As req</t>
        </is>
      </c>
      <c r="F47" s="225" t="inlineStr">
        <is>
          <t>Ongoing</t>
        </is>
      </c>
      <c r="G47" s="225" t="inlineStr">
        <is>
          <t>1.2 (Programming — CIP amendments), 2.8 (Public Viz)</t>
        </is>
      </c>
      <c r="H47" s="225" t="inlineStr">
        <is>
          <t>Phase 1+</t>
        </is>
      </c>
    </row>
    <row r="48" ht="15" customHeight="1" s="116">
      <c r="A48" s="225" t="n">
        <v>41</v>
      </c>
      <c r="B48" s="225" t="n">
        <v>3</v>
      </c>
      <c r="C48" s="225" t="inlineStr">
        <is>
          <t>Prepare funding agreements using templates</t>
        </is>
      </c>
      <c r="D48" s="225" t="inlineStr">
        <is>
          <t>MN/SS</t>
        </is>
      </c>
      <c r="E48" s="225" t="inlineStr">
        <is>
          <t>As req</t>
        </is>
      </c>
      <c r="F48" s="225" t="inlineStr">
        <is>
          <t>Ongoing</t>
        </is>
      </c>
      <c r="G48" s="225" t="inlineStr">
        <is>
          <t>1.6 (Funding Module — DIA/grant templates)</t>
        </is>
      </c>
      <c r="H48" s="225" t="inlineStr">
        <is>
          <t>Phase 1+</t>
        </is>
      </c>
    </row>
    <row r="49" ht="15" customHeight="1" s="116">
      <c r="A49" s="225" t="n">
        <v>42</v>
      </c>
      <c r="B49" s="225" t="n">
        <v>3</v>
      </c>
      <c r="C49" s="225" t="inlineStr">
        <is>
          <t>Support PMs with funding and procedural matters</t>
        </is>
      </c>
      <c r="D49" s="225" t="inlineStr">
        <is>
          <t>CC/MN/SS</t>
        </is>
      </c>
      <c r="E49" s="225" t="inlineStr">
        <is>
          <t>As req</t>
        </is>
      </c>
      <c r="F49" s="225" t="inlineStr">
        <is>
          <t>Ongoing</t>
        </is>
      </c>
      <c r="G49" s="225" t="inlineStr">
        <is>
          <t>1.8.1 (AI Assistant), 1.3 (Projects), PM.1</t>
        </is>
      </c>
      <c r="H49" s="225" t="inlineStr">
        <is>
          <t>Phase 1+</t>
        </is>
      </c>
    </row>
    <row r="50" ht="15" customHeight="1" s="116">
      <c r="A50" s="225" t="n">
        <v>43</v>
      </c>
      <c r="B50" s="225" t="n">
        <v>3</v>
      </c>
      <c r="C50" s="225" t="inlineStr">
        <is>
          <t>Develop PMO &amp; grant monitoring reports</t>
        </is>
      </c>
      <c r="D50" s="225" t="inlineStr">
        <is>
          <t>CC/MN/SS</t>
        </is>
      </c>
      <c r="E50" s="225" t="inlineStr">
        <is>
          <t>Once</t>
        </is>
      </c>
      <c r="F50" s="225" t="inlineStr">
        <is>
          <t>Aug 2026</t>
        </is>
      </c>
      <c r="G50" s="225" t="inlineStr">
        <is>
          <t>1.9 (Tableau), 2.8 (Public Viz), 2.6 (Reporting)</t>
        </is>
      </c>
      <c r="H50" s="225" t="inlineStr">
        <is>
          <t>Phase 1-2</t>
        </is>
      </c>
    </row>
    <row r="51" ht="23.25" customHeight="1" s="116">
      <c r="A51" s="225" t="n">
        <v>44</v>
      </c>
      <c r="B51" s="225" t="n">
        <v>3</v>
      </c>
      <c r="C51" s="225" t="inlineStr">
        <is>
          <t>Deliverables: Strategic Plan, cashflow, CIP, agreements, PMO/Grant Rpts, dashboards</t>
        </is>
      </c>
      <c r="D51" s="225" t="inlineStr">
        <is>
          <t>CC/MN/SS</t>
        </is>
      </c>
      <c r="E51" s="225" t="inlineStr">
        <is>
          <t>As req</t>
        </is>
      </c>
      <c r="F51" s="225" t="inlineStr">
        <is>
          <t>Ongoing</t>
        </is>
      </c>
      <c r="G51" s="225" t="inlineStr">
        <is>
          <t>1.2/1.6 (Prog/Fund), 1.9/2.8 (Tableau), all docs</t>
        </is>
      </c>
      <c r="H51" s="225" t="inlineStr">
        <is>
          <t>Phase 1+</t>
        </is>
      </c>
    </row>
    <row r="52" ht="15" customHeight="1" s="116">
      <c r="A52" s="222" t="inlineStr">
        <is>
          <t>OPTIONAL TASK O1</t>
        </is>
      </c>
      <c r="B52" s="180" t="n"/>
      <c r="C52" s="180" t="n"/>
      <c r="D52" s="180" t="n"/>
      <c r="E52" s="180" t="n"/>
      <c r="F52" s="180" t="n"/>
      <c r="G52" s="180" t="n"/>
      <c r="H52" s="181" t="n"/>
    </row>
    <row r="53" ht="15" customHeight="1" s="116">
      <c r="A53" s="226" t="n">
        <v>45</v>
      </c>
      <c r="B53" s="226" t="inlineStr">
        <is>
          <t>O1</t>
        </is>
      </c>
      <c r="C53" s="226" t="inlineStr">
        <is>
          <t>Create / rollout PCS #2</t>
        </is>
      </c>
      <c r="D53" s="226" t="inlineStr">
        <is>
          <t>CC/MN/SS</t>
        </is>
      </c>
      <c r="E53" s="226" t="inlineStr">
        <is>
          <t>Once</t>
        </is>
      </c>
      <c r="F53" s="226" t="inlineStr">
        <is>
          <t>Apr 2027</t>
        </is>
      </c>
      <c r="G53" s="226" t="inlineStr">
        <is>
          <t>THIS IS THE PCS SaaS PROJECT — WBS 1.1 through M8</t>
        </is>
      </c>
      <c r="H53" s="226" t="inlineStr">
        <is>
          <t>In Progress</t>
        </is>
      </c>
    </row>
  </sheetData>
  <mergeCells count="6">
    <mergeCell ref="A1:H1"/>
    <mergeCell ref="A15:H15"/>
    <mergeCell ref="A2:H2"/>
    <mergeCell ref="A52:H52"/>
    <mergeCell ref="A5:H5"/>
    <mergeCell ref="A40:H4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15" min="1" max="1"/>
    <col width="65" customWidth="1" style="115" min="2" max="2"/>
    <col width="35" customWidth="1" style="115" min="3" max="3"/>
  </cols>
  <sheetData>
    <row r="1" ht="17.25" customHeight="1" s="116">
      <c r="A1" s="219" t="inlineStr">
        <is>
          <t>Management Discipline → PCS Module Mapping</t>
        </is>
      </c>
    </row>
    <row r="2" ht="15" customHeight="1" s="116">
      <c r="A2" s="220" t="inlineStr">
        <is>
          <t>Addresses Mark's questions #14-18: Where does each discipline live in the new system?</t>
        </is>
      </c>
    </row>
    <row r="4" ht="15" customHeight="1" s="116">
      <c r="A4" s="227" t="inlineStr">
        <is>
          <t>Discipline</t>
        </is>
      </c>
      <c r="B4" s="227" t="inlineStr">
        <is>
          <t>Where It Lives in PCS SaaS</t>
        </is>
      </c>
      <c r="C4" s="227" t="inlineStr">
        <is>
          <t>Workplan WBS</t>
        </is>
      </c>
    </row>
    <row r="5" ht="54.75" customHeight="1" s="116">
      <c r="A5" s="228" t="inlineStr">
        <is>
          <t>Cost Management (#14)</t>
        </is>
      </c>
      <c r="B5" s="229" t="inlineStr">
        <is>
          <t>Contracts Module (task/vendor budgets, C1/C2 reallocations), Invoice Module (approval routing, IPV/CSR, short pay, retention), Project Cost Report (per rA2), Time-phased budgets (WF-24), Budget Change Request (WF-23)</t>
        </is>
      </c>
      <c r="C5" s="229" t="inlineStr">
        <is>
          <t>1.4, 1.5, 1.3.2</t>
        </is>
      </c>
    </row>
    <row r="6" ht="54.75" customHeight="1" s="116">
      <c r="A6" s="228" t="inlineStr">
        <is>
          <t>Risk Management (#15)</t>
        </is>
      </c>
      <c r="B6" s="229" t="inlineStr">
        <is>
          <t>Workflow engine tracks approval compliance, AI Invoice Intake flags rate/budget/cost code exceptions, Contract expiration monitoring, Grant closeout tracking, Exception reports</t>
        </is>
      </c>
      <c r="C6" s="229" t="inlineStr">
        <is>
          <t>1.1.3, 1.5.1-1.5.4, PM.5</t>
        </is>
      </c>
    </row>
    <row r="7" ht="54.75" customHeight="1" s="116">
      <c r="A7" s="228" t="inlineStr">
        <is>
          <t>Schedule Management (#16)</t>
        </is>
      </c>
      <c r="B7" s="229" t="inlineStr">
        <is>
          <t>Projects Module — Schedule Report (per rA2), .mpp import/export for full WBS hierarchy, baseline vs current comparison in PM Update view</t>
        </is>
      </c>
      <c r="C7" s="229" t="inlineStr">
        <is>
          <t>1.3.2, 2.3</t>
        </is>
      </c>
    </row>
    <row r="8" ht="54.75" customHeight="1" s="116">
      <c r="A8" s="228" t="inlineStr">
        <is>
          <t>Change Management (#17)</t>
        </is>
      </c>
      <c r="B8" s="229" t="inlineStr">
        <is>
          <t>Workflow engine (WF-09-13): contract amendments, C1/C2 reallocations, task order auth. Full audit trail. Budget Change Request (WF-23) with configurable thresholds.</t>
        </is>
      </c>
      <c r="C8" s="229" t="inlineStr">
        <is>
          <t>1.4.2-1.4.4, 1.1.3</t>
        </is>
      </c>
    </row>
    <row r="9" ht="54.75" customHeight="1" s="116">
      <c r="A9" s="228" t="inlineStr">
        <is>
          <t>Document Control (#18)</t>
        </is>
      </c>
      <c r="B9" s="229" t="inlineStr">
        <is>
          <t>Contract documents tab, Cloud storage with file server sync (Phase 2), Print/export (PDF + Excel, ACTC branded), Correspondence system, AI knowledge base</t>
        </is>
      </c>
      <c r="C9" s="229" t="inlineStr">
        <is>
          <t>1.4, 2.4, 1.8.3, 1.8.1</t>
        </is>
      </c>
    </row>
    <row r="10" ht="54.75" customHeight="1" s="116">
      <c r="A10" s="228" t="inlineStr">
        <is>
          <t>Forecasting (#12)</t>
        </is>
      </c>
      <c r="B10" s="229" t="inlineStr">
        <is>
          <t>Both levels: Project (ETC, EAC, committed amounts in PM Update) and Contract (time-phased monthly budgets, distribution tool, versioning). Tableau dashboards for trends.</t>
        </is>
      </c>
      <c r="C10" s="229" t="inlineStr">
        <is>
          <t>1.3.2, 1.4.4, 1.9</t>
        </is>
      </c>
    </row>
    <row r="11" ht="54.75" customHeight="1" s="116">
      <c r="A11" s="228" t="inlineStr">
        <is>
          <t>User Acceptance (#21)</t>
        </is>
      </c>
      <c r="B11" s="229" t="inlineStr">
        <is>
          <t>WBS 1.10 — dedicated UAT with Chang + Lee, plus per-module testing on all core modules. Salzwedel compliance signoff at go-live.</t>
        </is>
      </c>
      <c r="C11" s="229" t="inlineStr">
        <is>
          <t>1.10, module testing rows</t>
        </is>
      </c>
    </row>
    <row r="12" ht="54.75" customHeight="1" s="116">
      <c r="A12" s="228" t="inlineStr">
        <is>
          <t>PC Process Alignment (#20)</t>
        </is>
      </c>
      <c r="B12" s="229" t="inlineStr">
        <is>
          <t>All 24 workflows modeled from current ACTC procedures. PMI terminology on all fields. Visual workflow editor lets admins adjust without code. Nipper validates.</t>
        </is>
      </c>
      <c r="C12" s="229" t="inlineStr">
        <is>
          <t>1.1.3, 1.8.2, Nipper tasks</t>
        </is>
      </c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15" min="1" max="1"/>
    <col width="75" customWidth="1" style="115" min="2" max="2"/>
  </cols>
  <sheetData>
    <row r="1" ht="17.25" customHeight="1" s="116">
      <c r="A1" s="219" t="inlineStr">
        <is>
          <t>Acronyms &amp; Definitions</t>
        </is>
      </c>
    </row>
    <row r="3" ht="15" customHeight="1" s="116">
      <c r="A3" s="227" t="inlineStr">
        <is>
          <t>Term</t>
        </is>
      </c>
      <c r="B3" s="227" t="inlineStr">
        <is>
          <t>Definition</t>
        </is>
      </c>
    </row>
    <row r="4" ht="15" customHeight="1" s="116">
      <c r="A4" s="230" t="inlineStr">
        <is>
          <t>ACTC</t>
        </is>
      </c>
      <c r="B4" s="231" t="inlineStr">
        <is>
          <t>Alameda County Transportation Commission</t>
        </is>
      </c>
    </row>
    <row r="5" ht="15" customHeight="1" s="116">
      <c r="A5" s="230" t="inlineStr">
        <is>
          <t>AI</t>
        </is>
      </c>
      <c r="B5" s="231" t="inlineStr">
        <is>
          <t>Artificial Intelligence — used for Invoice Intake OCR and built-in Chat Assistant</t>
        </is>
      </c>
    </row>
    <row r="6" ht="15" customHeight="1" s="116">
      <c r="A6" s="230" t="inlineStr">
        <is>
          <t>BigQuery / BQ</t>
        </is>
      </c>
      <c r="B6" s="231" t="inlineStr">
        <is>
          <t>Google BigQuery — analytics database feeding Tableau Cloud reporting</t>
        </is>
      </c>
    </row>
    <row r="7" ht="15" customHeight="1" s="116">
      <c r="A7" s="230" t="inlineStr">
        <is>
          <t>C1 Form</t>
        </is>
      </c>
      <c r="B7" s="231" t="inlineStr">
        <is>
          <t>Contract task budget reallocation form</t>
        </is>
      </c>
    </row>
    <row r="8" ht="15" customHeight="1" s="116">
      <c r="A8" s="230" t="inlineStr">
        <is>
          <t>C2 Form</t>
        </is>
      </c>
      <c r="B8" s="231" t="inlineStr">
        <is>
          <t>Contract vendor budget reallocation form</t>
        </is>
      </c>
    </row>
    <row r="9" ht="15" customHeight="1" s="116">
      <c r="A9" s="230" t="inlineStr">
        <is>
          <t>CIP</t>
        </is>
      </c>
      <c r="B9" s="231" t="inlineStr">
        <is>
          <t>Comprehensive Investment Plan</t>
        </is>
      </c>
    </row>
    <row r="10" ht="15" customHeight="1" s="116">
      <c r="A10" s="230" t="inlineStr">
        <is>
          <t>CSR</t>
        </is>
      </c>
      <c r="B10" s="231" t="inlineStr">
        <is>
          <t>Contract Status Report — auto-generated with invoice packages</t>
        </is>
      </c>
    </row>
    <row r="11" ht="15" customHeight="1" s="116">
      <c r="A11" s="230" t="inlineStr">
        <is>
          <t>DBE</t>
        </is>
      </c>
      <c r="B11" s="231" t="inlineStr">
        <is>
          <t>Disadvantaged Business Enterprise</t>
        </is>
      </c>
    </row>
    <row r="12" ht="15" customHeight="1" s="116">
      <c r="A12" s="230" t="inlineStr">
        <is>
          <t>DIA</t>
        </is>
      </c>
      <c r="B12" s="231" t="inlineStr">
        <is>
          <t>Direct Implementation Agreement — a funding agreement type</t>
        </is>
      </c>
    </row>
    <row r="13" ht="15" customHeight="1" s="116">
      <c r="A13" s="230" t="inlineStr">
        <is>
          <t>EAC</t>
        </is>
      </c>
      <c r="B13" s="231" t="inlineStr">
        <is>
          <t>Estimate at Completion (PMI) — total expected cost at project finish</t>
        </is>
      </c>
    </row>
    <row r="14" ht="15" customHeight="1" s="116">
      <c r="A14" s="230" t="inlineStr">
        <is>
          <t>ETC</t>
        </is>
      </c>
      <c r="B14" s="231" t="inlineStr">
        <is>
          <t>Estimate to Complete (PMI) — remaining cost to finish</t>
        </is>
      </c>
    </row>
    <row r="15" ht="15" customHeight="1" s="116">
      <c r="A15" s="230" t="inlineStr">
        <is>
          <t>FY</t>
        </is>
      </c>
      <c r="B15" s="231" t="inlineStr">
        <is>
          <t>Fiscal Year</t>
        </is>
      </c>
    </row>
    <row r="16" ht="15" customHeight="1" s="116">
      <c r="A16" s="230" t="inlineStr">
        <is>
          <t>IPV</t>
        </is>
      </c>
      <c r="B16" s="231" t="inlineStr">
        <is>
          <t>Invoice Payment Voucher — auto-generated for approval routing</t>
        </is>
      </c>
    </row>
    <row r="17" ht="15" customHeight="1" s="116">
      <c r="A17" s="230" t="inlineStr">
        <is>
          <t>ISL</t>
        </is>
      </c>
      <c r="B17" s="231" t="inlineStr">
        <is>
          <t>Invoice Status Log — Excel today, replaced by in-app module</t>
        </is>
      </c>
    </row>
    <row r="18" ht="15" customHeight="1" s="116">
      <c r="A18" s="230" t="inlineStr">
        <is>
          <t>LBE</t>
        </is>
      </c>
      <c r="B18" s="231" t="inlineStr">
        <is>
          <t>Local Business Enterprise</t>
        </is>
      </c>
    </row>
    <row r="19" ht="15" customHeight="1" s="116">
      <c r="A19" s="230" t="inlineStr">
        <is>
          <t>MVP</t>
        </is>
      </c>
      <c r="B19" s="231" t="inlineStr">
        <is>
          <t>Minimum Viable Product — Phase 1 go-live target</t>
        </is>
      </c>
    </row>
    <row r="20" ht="15" customHeight="1" s="116">
      <c r="A20" s="230" t="inlineStr">
        <is>
          <t>OAuth</t>
        </is>
      </c>
      <c r="B20" s="231" t="inlineStr">
        <is>
          <t>Open Authorization — secure login via Google/Microsoft accounts</t>
        </is>
      </c>
    </row>
    <row r="21" ht="15" customHeight="1" s="116">
      <c r="A21" s="230" t="inlineStr">
        <is>
          <t>PCA</t>
        </is>
      </c>
      <c r="B21" s="231" t="inlineStr">
        <is>
          <t>Project Controls Assistant — primary data entry role</t>
        </is>
      </c>
    </row>
    <row r="22" ht="15" customHeight="1" s="116">
      <c r="A22" s="230" t="inlineStr">
        <is>
          <t>PCS</t>
        </is>
      </c>
      <c r="B22" s="231" t="inlineStr">
        <is>
          <t>Project Controls System — the legacy system being replaced</t>
        </is>
      </c>
    </row>
    <row r="23" ht="15" customHeight="1" s="116">
      <c r="A23" s="230" t="inlineStr">
        <is>
          <t>PFA</t>
        </is>
      </c>
      <c r="B23" s="231" t="inlineStr">
        <is>
          <t>Pass-through Funding Agreement — a contract type</t>
        </is>
      </c>
    </row>
    <row r="24" ht="15" customHeight="1" s="116">
      <c r="A24" s="230" t="inlineStr">
        <is>
          <t>PM</t>
        </is>
      </c>
      <c r="B24" s="231" t="inlineStr">
        <is>
          <t>Project Manager</t>
        </is>
      </c>
    </row>
    <row r="25" ht="15" customHeight="1" s="116">
      <c r="A25" s="230" t="inlineStr">
        <is>
          <t>PMI</t>
        </is>
      </c>
      <c r="B25" s="231" t="inlineStr">
        <is>
          <t>Project Management Institute — source for standard terminology</t>
        </is>
      </c>
    </row>
    <row r="26" ht="15" customHeight="1" s="116">
      <c r="A26" s="230" t="inlineStr">
        <is>
          <t>PMO</t>
        </is>
      </c>
      <c r="B26" s="231" t="inlineStr">
        <is>
          <t>Project Management Oversight</t>
        </is>
      </c>
    </row>
    <row r="27" ht="15" customHeight="1" s="116">
      <c r="A27" s="230" t="inlineStr">
        <is>
          <t>PNRF</t>
        </is>
      </c>
      <c r="B27" s="231" t="inlineStr">
        <is>
          <t>Project Number Request Form — workflow for new project creation</t>
        </is>
      </c>
    </row>
    <row r="28" ht="15" customHeight="1" s="116">
      <c r="A28" s="230" t="inlineStr">
        <is>
          <t>PO</t>
        </is>
      </c>
      <c r="B28" s="231" t="inlineStr">
        <is>
          <t>Purchase Order</t>
        </is>
      </c>
    </row>
    <row r="29" ht="15" customHeight="1" s="116">
      <c r="A29" s="230" t="inlineStr">
        <is>
          <t>PSA</t>
        </is>
      </c>
      <c r="B29" s="231" t="inlineStr">
        <is>
          <t>Professional Services Agreement — a contract type</t>
        </is>
      </c>
    </row>
    <row r="30" ht="15" customHeight="1" s="116">
      <c r="A30" s="230" t="inlineStr">
        <is>
          <t>RLS</t>
        </is>
      </c>
      <c r="B30" s="231" t="inlineStr">
        <is>
          <t>Row-Level Security — database access control per user</t>
        </is>
      </c>
    </row>
    <row r="31" ht="15" customHeight="1" s="116">
      <c r="A31" s="230" t="inlineStr">
        <is>
          <t>SaaS</t>
        </is>
      </c>
      <c r="B31" s="231" t="inlineStr">
        <is>
          <t>Software as a Service — cloud-hosted web application</t>
        </is>
      </c>
    </row>
    <row r="32" ht="15" customHeight="1" s="116">
      <c r="A32" s="230" t="inlineStr">
        <is>
          <t>SLBE</t>
        </is>
      </c>
      <c r="B32" s="231" t="inlineStr">
        <is>
          <t>Small Local Business Enterprise</t>
        </is>
      </c>
    </row>
    <row r="33" ht="15" customHeight="1" s="116">
      <c r="A33" s="230" t="inlineStr">
        <is>
          <t>Supabase</t>
        </is>
      </c>
      <c r="B33" s="231" t="inlineStr">
        <is>
          <t>Cloud PostgreSQL platform — primary application database</t>
        </is>
      </c>
    </row>
    <row r="34" ht="15" customHeight="1" s="116">
      <c r="A34" s="230" t="inlineStr">
        <is>
          <t>Tableau</t>
        </is>
      </c>
      <c r="B34" s="231" t="inlineStr">
        <is>
          <t>Tableau Cloud — business intelligence / visualization platform</t>
        </is>
      </c>
    </row>
    <row r="35" ht="15" customHeight="1" s="116">
      <c r="A35" s="230" t="inlineStr">
        <is>
          <t>UAT</t>
        </is>
      </c>
      <c r="B35" s="231" t="inlineStr">
        <is>
          <t>User Acceptance Testing</t>
        </is>
      </c>
    </row>
    <row r="36" ht="15" customHeight="1" s="116">
      <c r="A36" s="230" t="inlineStr">
        <is>
          <t>WBS</t>
        </is>
      </c>
      <c r="B36" s="231" t="inlineStr">
        <is>
          <t>Work Breakdown Structure</t>
        </is>
      </c>
    </row>
    <row r="37" ht="15" customHeight="1" s="116">
      <c r="A37" s="230" t="inlineStr">
        <is>
          <t>WF-##</t>
        </is>
      </c>
      <c r="B37" s="231" t="inlineStr">
        <is>
          <t>Workflow number (e.g., WF-03 = Invoice Approval Routing) — 24 tracked workflows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22"/>
  <sheetViews>
    <sheetView showFormulas="0" showGridLines="1" showRowColHeaders="1" showZeros="1" rightToLeft="0" tabSelected="1" showOutlineSymbols="1" defaultGridColor="1" view="normal" topLeftCell="A1" colorId="64" zoomScale="160" zoomScaleNormal="160" zoomScalePageLayoutView="100" workbookViewId="0">
      <selection pane="topLeft" activeCell="A1" activeCellId="0" sqref="A1"/>
    </sheetView>
  </sheetViews>
  <sheetFormatPr baseColWidth="8" defaultColWidth="10.6796875" defaultRowHeight="15" zeroHeight="0" outlineLevelRow="0"/>
  <cols>
    <col width="10" customWidth="1" style="114" min="1" max="1"/>
    <col width="90.5" customWidth="1" style="115" min="2" max="2"/>
  </cols>
  <sheetData>
    <row r="1" ht="16.5" customFormat="1" customHeight="1" s="232">
      <c r="A1" s="233" t="inlineStr">
        <is>
          <t>Sequence #</t>
        </is>
      </c>
      <c r="B1" s="233" t="inlineStr">
        <is>
          <t>Thoughts</t>
        </is>
      </c>
    </row>
    <row r="2" ht="15.75" customHeight="1" s="116">
      <c r="A2" s="234" t="n">
        <v>1</v>
      </c>
      <c r="B2" s="235" t="inlineStr">
        <is>
          <t>Formatted a bit</t>
        </is>
      </c>
    </row>
    <row r="3" ht="15" customHeight="1" s="116">
      <c r="A3" s="236">
        <f>A2+1</f>
        <v/>
      </c>
      <c r="B3" s="237" t="inlineStr">
        <is>
          <t>Cleaned up team member names a bit</t>
        </is>
      </c>
    </row>
    <row r="4" ht="15" customHeight="1" s="116">
      <c r="A4" s="236">
        <f>A3+1</f>
        <v/>
      </c>
      <c r="B4" s="237" t="inlineStr">
        <is>
          <t>Programming, Projects, Contracts Module Testing not present</t>
        </is>
      </c>
    </row>
    <row r="5" ht="15" customHeight="1" s="116">
      <c r="A5" s="236">
        <f>A4+1</f>
        <v/>
      </c>
      <c r="B5" s="237" t="inlineStr">
        <is>
          <t>A definition associated with each section and associated capabilities would be very helpful</t>
        </is>
      </c>
    </row>
    <row r="6" ht="15" customHeight="1" s="116">
      <c r="A6" s="236">
        <f>A5+1</f>
        <v/>
      </c>
      <c r="B6" s="237" t="inlineStr">
        <is>
          <t>The Work Plan comes across like a resource loaded, software building schedule</t>
        </is>
      </c>
    </row>
    <row r="7" ht="15" customHeight="1" s="116">
      <c r="A7" s="236">
        <f>A6+1</f>
        <v/>
      </c>
      <c r="B7" s="237" t="inlineStr">
        <is>
          <t>The Work Plan I envisioned was a task by task listing of our contract based work deliverables with associated details</t>
        </is>
      </c>
    </row>
    <row r="8" ht="15" customHeight="1" s="116">
      <c r="A8" s="236">
        <f>A7+1</f>
        <v/>
      </c>
      <c r="B8" s="237" t="inlineStr">
        <is>
          <t>How are work tasks derived?</t>
        </is>
      </c>
    </row>
    <row r="9" ht="15" customHeight="1" s="116">
      <c r="A9" s="236">
        <f>A8+1</f>
        <v/>
      </c>
      <c r="B9" s="237" t="inlineStr">
        <is>
          <t>How are durations derived?</t>
        </is>
      </c>
    </row>
    <row r="10" ht="15" customHeight="1" s="116">
      <c r="A10" s="236">
        <f>A9+1</f>
        <v/>
      </c>
      <c r="B10" s="237" t="inlineStr">
        <is>
          <t>How are hours derived?</t>
        </is>
      </c>
    </row>
    <row r="11" ht="15" customHeight="1" s="116">
      <c r="A11" s="236">
        <f>A10+1</f>
        <v/>
      </c>
      <c r="B11" s="237" t="inlineStr">
        <is>
          <t>How is schedule logic derived?</t>
        </is>
      </c>
    </row>
    <row r="12" ht="15" customHeight="1" s="116">
      <c r="A12" s="236">
        <f>A11+1</f>
        <v/>
      </c>
      <c r="B12" s="237" t="inlineStr">
        <is>
          <t>Acronyms may require definition</t>
        </is>
      </c>
    </row>
    <row r="13" ht="15" customHeight="1" s="116">
      <c r="A13" s="236">
        <f>A12+1</f>
        <v/>
      </c>
      <c r="B13" s="237" t="inlineStr">
        <is>
          <t>Are we "forecasting" at the Project or Contracts level?</t>
        </is>
      </c>
    </row>
    <row r="14" ht="15" customHeight="1" s="116">
      <c r="A14" s="236">
        <f>A13+1</f>
        <v/>
      </c>
      <c r="B14" s="237" t="inlineStr">
        <is>
          <t>Funding Module Testing not present</t>
        </is>
      </c>
    </row>
    <row r="15" ht="15" customHeight="1" s="116">
      <c r="A15" s="236">
        <f>A14+1</f>
        <v/>
      </c>
      <c r="B15" s="237" t="inlineStr">
        <is>
          <t>Where do we establish / create Cost Management functionality?</t>
        </is>
      </c>
    </row>
    <row r="16" ht="15" customHeight="1" s="116">
      <c r="A16" s="236">
        <f>A15+1</f>
        <v/>
      </c>
      <c r="B16" s="237" t="inlineStr">
        <is>
          <t>Where do we establish / create Risk Management functionality?</t>
        </is>
      </c>
    </row>
    <row r="17" ht="15" customHeight="1" s="116">
      <c r="A17" s="236">
        <f>A16+1</f>
        <v/>
      </c>
      <c r="B17" s="237" t="inlineStr">
        <is>
          <t>Where do we establish / create Schedule Management functionality?</t>
        </is>
      </c>
    </row>
    <row r="18" ht="15" customHeight="1" s="116">
      <c r="A18" s="236">
        <f>A17+1</f>
        <v/>
      </c>
      <c r="B18" s="237" t="inlineStr">
        <is>
          <t>Where do we establish / create Change Management functionality?</t>
        </is>
      </c>
    </row>
    <row r="19" ht="15" customHeight="1" s="116">
      <c r="A19" s="236">
        <f>A18+1</f>
        <v/>
      </c>
      <c r="B19" s="237" t="inlineStr">
        <is>
          <t>Where do we establish / create Document Control / Management functionality?</t>
        </is>
      </c>
    </row>
    <row r="20" ht="15" customHeight="1" s="116">
      <c r="A20" s="236">
        <f>A19+1</f>
        <v/>
      </c>
      <c r="B20" s="237" t="inlineStr">
        <is>
          <t>Do we want required functionality needs / goals from our User Community?</t>
        </is>
      </c>
    </row>
    <row r="21" ht="15" customHeight="1" s="116">
      <c r="A21" s="236">
        <f>A20+1</f>
        <v/>
      </c>
      <c r="B21" s="237" t="inlineStr">
        <is>
          <t>Will the "Tool Design" coincide with our PC processes and procedures?  Very important!</t>
        </is>
      </c>
    </row>
    <row r="22" ht="15.75" customHeight="1" s="116">
      <c r="A22" s="238">
        <f>A21+1</f>
        <v/>
      </c>
      <c r="B22" s="239" t="inlineStr">
        <is>
          <t>Will we have an "Overall User Testing / Acceptance" phase?</t>
        </is>
      </c>
    </row>
    <row r="23" ht="15.75" customHeight="1" s="116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2026-04-15T03:55:42Z</dcterms:created>
  <dcterms:modified xmlns:dcterms="http://purl.org/dc/terms/" xmlns:xsi="http://www.w3.org/2001/XMLSchema-instance" xsi:type="dcterms:W3CDTF">2026-04-19T21:56:33Z</dcterms:modified>
  <cp:lastModifiedBy>Mark Nipper</cp:lastModifiedBy>
  <cp:revision>0</cp:revision>
</cp:coreProperties>
</file>